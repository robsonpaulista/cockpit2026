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d4a9b92910a370/Documentos/Coorporativo/copilot 2026/"/>
    </mc:Choice>
  </mc:AlternateContent>
  <xr:revisionPtr revIDLastSave="25" documentId="13_ncr:1_{6ED8A6FE-A54E-4C7B-8B1E-8F82D47089AA}" xr6:coauthVersionLast="47" xr6:coauthVersionMax="47" xr10:uidLastSave="{C0B812A1-F5D5-4B39-BA3A-EBBEE581FEFB}"/>
  <bookViews>
    <workbookView xWindow="-108" yWindow="-108" windowWidth="23256" windowHeight="12456" firstSheet="9" activeTab="9" xr2:uid="{85042D99-AF67-46D0-BBD8-7613075613E7}"/>
  </bookViews>
  <sheets>
    <sheet name="opcao 1" sheetId="1" state="hidden" r:id="rId1"/>
    <sheet name="etapa 1 asfalto" sheetId="4" state="hidden" r:id="rId2"/>
    <sheet name="etapa 2 asfalto" sheetId="6" state="hidden" r:id="rId3"/>
    <sheet name="Etapa 3 Asfalto" sheetId="7" state="hidden" r:id="rId4"/>
    <sheet name="Planilha1" sheetId="8" state="hidden" r:id="rId5"/>
    <sheet name="GERAL" sheetId="9" state="hidden" r:id="rId6"/>
    <sheet name="ETAPA 1 e 2" sheetId="10" state="hidden" r:id="rId7"/>
    <sheet name="Planilha2" sheetId="12" state="hidden" r:id="rId8"/>
    <sheet name="Planilha5" sheetId="16" state="hidden" r:id="rId9"/>
    <sheet name="ASFALTOS" sheetId="17" r:id="rId10"/>
    <sheet name="OBRAS DIVERSAS" sheetId="15" r:id="rId11"/>
    <sheet name="Planilha3" sheetId="19" state="hidden" r:id="rId12"/>
    <sheet name="geral 2" sheetId="18" state="hidden" r:id="rId13"/>
    <sheet name="g" sheetId="13" state="hidden" r:id="rId14"/>
    <sheet name="Planilha4" sheetId="14" state="hidden" r:id="rId15"/>
    <sheet name="ETAPA 2" sheetId="11" state="hidden" r:id="rId16"/>
    <sheet name="opcao 2" sheetId="2" state="hidden" r:id="rId17"/>
    <sheet name="a primeira" sheetId="3" state="hidden" r:id="rId18"/>
  </sheets>
  <definedNames>
    <definedName name="_xlnm._FilterDatabase" localSheetId="9" hidden="1">ASFALTOS!#REF!</definedName>
    <definedName name="_xlnm._FilterDatabase" localSheetId="12" hidden="1">'geral 2'!$C$6:$H$6</definedName>
    <definedName name="_xlnm._FilterDatabase" localSheetId="10" hidden="1">'OBRAS DIVERSAS'!$B$2:$H$2</definedName>
    <definedName name="_xlnm._FilterDatabase" localSheetId="0" hidden="1">'opcao 1'!$C$7:$E$7</definedName>
    <definedName name="_xlnm._FilterDatabase" localSheetId="7" hidden="1">Planilha2!$D$62:$J$62</definedName>
    <definedName name="_xlnm.Print_Area" localSheetId="9">ASFALTOS!$A$45:$H$54</definedName>
    <definedName name="_xlnm.Print_Area" localSheetId="1">'etapa 1 asfalto'!$G$7:$J$33</definedName>
    <definedName name="_xlnm.Print_Area" localSheetId="2">'etapa 2 asfalto'!$E$3:$G$14</definedName>
    <definedName name="_xlnm.Print_Area" localSheetId="12">'geral 2'!$C$6:$H$45</definedName>
    <definedName name="_xlnm.Print_Area" localSheetId="10">'OBRAS DIVERSAS'!$B$2:$H$32</definedName>
    <definedName name="_xlnm.Print_Area" localSheetId="0">'opcao 1'!$C$3:$E$23</definedName>
    <definedName name="_xlnm.Print_Area" localSheetId="4">Planilha1!$F$7:$I$16</definedName>
    <definedName name="_xlnm.Print_Area" localSheetId="7">Planilha2!$D$2:$J$94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5" l="1"/>
  <c r="H93" i="15"/>
  <c r="H49" i="15"/>
  <c r="H11" i="19"/>
  <c r="H182" i="19"/>
  <c r="H96" i="19"/>
  <c r="H61" i="19"/>
  <c r="H179" i="15"/>
  <c r="H45" i="18"/>
  <c r="H120" i="18"/>
  <c r="H87" i="18"/>
  <c r="F171" i="12"/>
  <c r="F169" i="16"/>
  <c r="F157" i="16"/>
  <c r="J114" i="16"/>
  <c r="J147" i="16" s="1"/>
  <c r="J92" i="16"/>
  <c r="J77" i="16"/>
  <c r="J55" i="16"/>
  <c r="J38" i="16"/>
  <c r="J21" i="16"/>
  <c r="J12" i="16"/>
  <c r="J5" i="16"/>
  <c r="J94" i="12"/>
  <c r="J79" i="12"/>
  <c r="J23" i="12"/>
  <c r="H26" i="13"/>
  <c r="G17" i="14"/>
  <c r="G19" i="14" s="1"/>
  <c r="J40" i="12" l="1"/>
  <c r="J57" i="12"/>
  <c r="J116" i="12"/>
  <c r="J149" i="12" s="1"/>
  <c r="F55" i="13"/>
  <c r="F43" i="13"/>
  <c r="F159" i="12" l="1"/>
  <c r="J7" i="12"/>
  <c r="J14" i="12"/>
  <c r="E48" i="9" l="1"/>
  <c r="E36" i="9" l="1"/>
  <c r="E14" i="9"/>
  <c r="J23" i="10"/>
  <c r="I16" i="8"/>
  <c r="I31" i="8" l="1"/>
  <c r="J33" i="4"/>
  <c r="J25" i="4"/>
  <c r="G7" i="7"/>
  <c r="G14" i="6" l="1"/>
  <c r="E23" i="3"/>
  <c r="E20" i="2"/>
  <c r="E23" i="1"/>
  <c r="H28" i="19"/>
  <c r="H30" i="19" s="1"/>
</calcChain>
</file>

<file path=xl/sharedStrings.xml><?xml version="1.0" encoding="utf-8"?>
<sst xmlns="http://schemas.openxmlformats.org/spreadsheetml/2006/main" count="3204" uniqueCount="474">
  <si>
    <t>Indicações Asfalto Janeiro 2025</t>
  </si>
  <si>
    <t>Municipio</t>
  </si>
  <si>
    <t>Liderança</t>
  </si>
  <si>
    <t>Valor</t>
  </si>
  <si>
    <t>Picos</t>
  </si>
  <si>
    <t>Prefeito Pablo Santos</t>
  </si>
  <si>
    <t>Altos</t>
  </si>
  <si>
    <t>Vereadores Juniel Pinheiro, Gerson Fernandes e Natan dos Projetos</t>
  </si>
  <si>
    <t>Amarante</t>
  </si>
  <si>
    <t>Prefeito Diego Teixeira</t>
  </si>
  <si>
    <t>Regeneração</t>
  </si>
  <si>
    <t>Brasileira</t>
  </si>
  <si>
    <t>Prefeito Ranieri Mazzile</t>
  </si>
  <si>
    <t>Campo Maior</t>
  </si>
  <si>
    <t>Vice-Prefeito Sena Rosa e Vereadores Wellington Sena, Hilderlene Brito e Michele Maroca</t>
  </si>
  <si>
    <t>Castelo do Piauí</t>
  </si>
  <si>
    <t>Prefeito Junior Abreu e Ex-Prefeito Magno Soares</t>
  </si>
  <si>
    <t>Cocal</t>
  </si>
  <si>
    <t>Prefeito Dr Cristiano Brito</t>
  </si>
  <si>
    <t>Ilha Grande</t>
  </si>
  <si>
    <t>Bernadete Leal</t>
  </si>
  <si>
    <t>Luis Correia</t>
  </si>
  <si>
    <t>Prefeita Maninha Fontenele</t>
  </si>
  <si>
    <t>Pedro II</t>
  </si>
  <si>
    <t>Prefeita Betinha Brandão</t>
  </si>
  <si>
    <t>Oeiras</t>
  </si>
  <si>
    <t>Prefeito Dr Hailton</t>
  </si>
  <si>
    <t>Paes Landim</t>
  </si>
  <si>
    <t>Prefeito Francinaldo Moraes</t>
  </si>
  <si>
    <t>Gabriela Nunes</t>
  </si>
  <si>
    <t>Porto</t>
  </si>
  <si>
    <t>Prefeito Aluizio Vaz</t>
  </si>
  <si>
    <t>Cabeceiras</t>
  </si>
  <si>
    <t>Prefeito Prof. Zé Filho Nelson</t>
  </si>
  <si>
    <t>miguel alves</t>
  </si>
  <si>
    <t>Esperantina</t>
  </si>
  <si>
    <t>Miguel Alves</t>
  </si>
  <si>
    <t>José de Freitas</t>
  </si>
  <si>
    <t>Roberval Santos, Pereira Neto, Prof Lucia Ribeiro e "Helena Barros"</t>
  </si>
  <si>
    <t>Prefeito Vein da Fetraf e Grupo</t>
  </si>
  <si>
    <t>Dr Dailton Carvalho</t>
  </si>
  <si>
    <t>União</t>
  </si>
  <si>
    <t>Dr Neerias Cavalcante, Eduardo Bacelar, Dunche Fortes e (Ocivania)</t>
  </si>
  <si>
    <t>Planilha de Demandas</t>
  </si>
  <si>
    <t>Obra de Infraestrutura</t>
  </si>
  <si>
    <t>Poço, Calçamento</t>
  </si>
  <si>
    <t>OPÇÃO 1 - CONTEMPLANDO CIDADES NORTE ESTADO</t>
  </si>
  <si>
    <t>OPÇÃO 2 - AUMENTANDO VALOR PRIORIDADES</t>
  </si>
  <si>
    <t xml:space="preserve">CIDADES SUL DO ESTADO QUE SAÍRAM </t>
  </si>
  <si>
    <t>Etapa 2 Asfalto - Março / 2025</t>
  </si>
  <si>
    <t>TOTAL</t>
  </si>
  <si>
    <t>Contato</t>
  </si>
  <si>
    <t>(86) 99456-0446</t>
  </si>
  <si>
    <t>(86) 99931-9889</t>
  </si>
  <si>
    <t>(86) 99928-4342</t>
  </si>
  <si>
    <t>(86) 99995-4040</t>
  </si>
  <si>
    <t>(86) 99565-8345</t>
  </si>
  <si>
    <t>(89) 98117-1515</t>
  </si>
  <si>
    <t>Dr Neerias Cavalcante e Eduardo Bacelar</t>
  </si>
  <si>
    <t>(86) 99509-2936</t>
  </si>
  <si>
    <t>Dr Hailton</t>
  </si>
  <si>
    <t>(86) 99833-7715</t>
  </si>
  <si>
    <t>Roberval Santos, Pereira Neto, Prof Lucia Ribeiro e Helena Barros</t>
  </si>
  <si>
    <t>Dom Expedito Lopes</t>
  </si>
  <si>
    <t>Prefeito Dr Abimael Lima</t>
  </si>
  <si>
    <t xml:space="preserve">Cota 2023/2024 : Etapa 1 Asfalto </t>
  </si>
  <si>
    <t>Cota 2025: Etapa 2 Asfalto - Maio / 2025</t>
  </si>
  <si>
    <t>Parnaíba</t>
  </si>
  <si>
    <t>São Pedro do Piauí</t>
  </si>
  <si>
    <t>Júnior Bill</t>
  </si>
  <si>
    <t>(86) 98117-5474</t>
  </si>
  <si>
    <t>(86) 98160-6140</t>
  </si>
  <si>
    <t>(86) 99426-0510</t>
  </si>
  <si>
    <t>(86) 99402-5550</t>
  </si>
  <si>
    <t>(86) 99408-4943</t>
  </si>
  <si>
    <t>(86) 99943-2459</t>
  </si>
  <si>
    <r>
      <t xml:space="preserve">Vice-Prefeito Sena Rosa e Vereadores </t>
    </r>
    <r>
      <rPr>
        <b/>
        <sz val="14"/>
        <color theme="1"/>
        <rFont val="Calibri"/>
        <family val="2"/>
        <scheme val="minor"/>
      </rPr>
      <t>Wellington Sena</t>
    </r>
    <r>
      <rPr>
        <sz val="14"/>
        <color theme="1"/>
        <rFont val="Calibri"/>
        <family val="2"/>
        <scheme val="minor"/>
      </rPr>
      <t>, Hilderlene Brito e Michele Maroca</t>
    </r>
  </si>
  <si>
    <t>Prefeito Francisco Emanuel</t>
  </si>
  <si>
    <t>Piripiri</t>
  </si>
  <si>
    <t>São João da Serra</t>
  </si>
  <si>
    <t>Raimundo Coimbra</t>
  </si>
  <si>
    <t>M²</t>
  </si>
  <si>
    <t>Valor Total</t>
  </si>
  <si>
    <t>Ranieri Mazzile</t>
  </si>
  <si>
    <t>Betinha Brandão</t>
  </si>
  <si>
    <t>Junior Abreu</t>
  </si>
  <si>
    <t>Francinaldo Moraes</t>
  </si>
  <si>
    <t>Véin da Fetraf</t>
  </si>
  <si>
    <t>Francisco Emanuel</t>
  </si>
  <si>
    <t>Aluizio Vaz</t>
  </si>
  <si>
    <t>Dr Abimael Lima</t>
  </si>
  <si>
    <t>W.S. / Sena Rosa / Hilderlene / Michele Maroca</t>
  </si>
  <si>
    <t>Status</t>
  </si>
  <si>
    <t>Dr Pablo Santos</t>
  </si>
  <si>
    <t>Dr Cristiano Brito</t>
  </si>
  <si>
    <t>Luís Correia</t>
  </si>
  <si>
    <t>Maninha Fontenele</t>
  </si>
  <si>
    <t>Gerson Fernandes</t>
  </si>
  <si>
    <t>Grupo JF</t>
  </si>
  <si>
    <t>Aguardando Plano de Trabalho</t>
  </si>
  <si>
    <t>Aguardando Orçamento</t>
  </si>
  <si>
    <t>Obra Finalizada</t>
  </si>
  <si>
    <t>Obra</t>
  </si>
  <si>
    <t>SEI</t>
  </si>
  <si>
    <t>Pavimentação Asfaltica</t>
  </si>
  <si>
    <t>Pavimentação Asfaltica (17.817,00m²)</t>
  </si>
  <si>
    <t>Pavimentação Asfaltica (1.757,00m²)</t>
  </si>
  <si>
    <t>Pavimentação Asfaltica (14.753,00m²)</t>
  </si>
  <si>
    <t>Pavimentação Asfaltica (10.060,00m²)</t>
  </si>
  <si>
    <t>Pavimentação Asfaltica (19.847,24m²)</t>
  </si>
  <si>
    <t>Pavimentação Asfaltica (16.637,60m²)</t>
  </si>
  <si>
    <t>Pavimentação Asfaltica (17.443,46m²)</t>
  </si>
  <si>
    <t>Pavimentação Asfaltica (5.778,00m²)</t>
  </si>
  <si>
    <t>Pavimentação Asfaltica (10.070,00m²)</t>
  </si>
  <si>
    <t>00319.002398/2025-00</t>
  </si>
  <si>
    <t>Etapa 1 - Asfaltos</t>
  </si>
  <si>
    <t>00016.000552/2025-13</t>
  </si>
  <si>
    <t>00016.000508/2025-03</t>
  </si>
  <si>
    <t>00319.003253/2025-18</t>
  </si>
  <si>
    <t>00016.000678/2025-80</t>
  </si>
  <si>
    <t>00114.000587/2025-36</t>
  </si>
  <si>
    <t>00317.000677/2025</t>
  </si>
  <si>
    <t>0317.000683/2025-06</t>
  </si>
  <si>
    <t>00114.000591/2025-02</t>
  </si>
  <si>
    <t>00114.000602/2025-46</t>
  </si>
  <si>
    <t>00119.001017/2025-13</t>
  </si>
  <si>
    <t>00016.001138/2025-13</t>
  </si>
  <si>
    <t>Pavimentação Asfaltica (36.510,00m²)</t>
  </si>
  <si>
    <t>Pavimentação Asfaltica (9.696,80m²)</t>
  </si>
  <si>
    <t>Pavimentação Asfaltica (12.412,80m²)</t>
  </si>
  <si>
    <t>Neerias Cavalcante / Eduardo Bacelar</t>
  </si>
  <si>
    <t>Total</t>
  </si>
  <si>
    <t>Hélio Inacio</t>
  </si>
  <si>
    <t>Genival Sales</t>
  </si>
  <si>
    <t>Cajueiro da Praia</t>
  </si>
  <si>
    <t>Felipe Ribeiro</t>
  </si>
  <si>
    <t>00114.000650/2025-34</t>
  </si>
  <si>
    <t>Pavimentação Asfaltica (15.290,00m²)</t>
  </si>
  <si>
    <t>00317.000886/2025-94</t>
  </si>
  <si>
    <t>Pavimentação Asfaltica (10.595,00m²)</t>
  </si>
  <si>
    <t>00114.000827/2025-01</t>
  </si>
  <si>
    <t>Pavimentação Asfaltica (9.500,00m²)</t>
  </si>
  <si>
    <t>Pavimentação Asfaltica (35.637,50m²)</t>
  </si>
  <si>
    <t>FINALIZADO</t>
  </si>
  <si>
    <t>00119.000258/2025-45</t>
  </si>
  <si>
    <t>atualizado em 11/11/2025</t>
  </si>
  <si>
    <t>GOV / Dr Hélio</t>
  </si>
  <si>
    <t>Buriti dos Lopes</t>
  </si>
  <si>
    <t>Deusa de Moraes</t>
  </si>
  <si>
    <t>Teresina</t>
  </si>
  <si>
    <t>Gustavo Gaoiso</t>
  </si>
  <si>
    <t>Gessivaldo Isaias</t>
  </si>
  <si>
    <t>Obras Finalizadas - Asfaltos Dep. Jadyel Alencar</t>
  </si>
  <si>
    <t>Etapa 1 - 2025 - Asfaltos Dep. Jadyel Alencar (Aguardando Orçamento)</t>
  </si>
  <si>
    <t>Etapa 2 - 2026 - Asfaltos Dep. Jadyel Alencar (Aguardando Orçamento)</t>
  </si>
  <si>
    <t>Jaicós</t>
  </si>
  <si>
    <t>São Julião</t>
  </si>
  <si>
    <t>Campo Grande</t>
  </si>
  <si>
    <t>Bosquinho</t>
  </si>
  <si>
    <t>Pavimentação Asfaltica (14.000,00m²)</t>
  </si>
  <si>
    <t>Francimar</t>
  </si>
  <si>
    <t>Flavio Pereira</t>
  </si>
  <si>
    <t>Etapa</t>
  </si>
  <si>
    <t>Pavimentação Asfaltica (17.818,75m²)</t>
  </si>
  <si>
    <t>Pavimentação Asfaltica (9.923,62m²)</t>
  </si>
  <si>
    <t>Pavimentação Asfaltica (18.000,00m²)</t>
  </si>
  <si>
    <t>Baixa Grande / Bom Jesus</t>
  </si>
  <si>
    <t>Santa Filomena</t>
  </si>
  <si>
    <t>Governo</t>
  </si>
  <si>
    <t>W.S. / Hilderlene / Michele Maroca</t>
  </si>
  <si>
    <t>00016.001657/2025-81</t>
  </si>
  <si>
    <t>Orçamento Pró +</t>
  </si>
  <si>
    <t>Estradas Vicinais</t>
  </si>
  <si>
    <t>Etapa 1 Asfalto</t>
  </si>
  <si>
    <t>Etapa 2 Asfalto</t>
  </si>
  <si>
    <t>Etapa 0 Asfalto</t>
  </si>
  <si>
    <t>Etapa 1 Obras Diversas</t>
  </si>
  <si>
    <t>ETAPA</t>
  </si>
  <si>
    <t>Cidade</t>
  </si>
  <si>
    <t>Tipo</t>
  </si>
  <si>
    <t>Valor Obra</t>
  </si>
  <si>
    <t>Pavimentação</t>
  </si>
  <si>
    <t>00317.000782/2025-80</t>
  </si>
  <si>
    <t>Pavimentação em Paralelepípedo (7.484,00m²)</t>
  </si>
  <si>
    <t>Bom Principio do Piauí</t>
  </si>
  <si>
    <t>00119.000471/2025-57</t>
  </si>
  <si>
    <t>Pavimentação em Paralelepípedo (6.315m²)</t>
  </si>
  <si>
    <t>Cocal de Telha</t>
  </si>
  <si>
    <t>00119.000542/2025-11</t>
  </si>
  <si>
    <t>Pavimentação em Paralelepípedo (3.834m²)</t>
  </si>
  <si>
    <t>Curimatá</t>
  </si>
  <si>
    <t>Arena / Ginasio</t>
  </si>
  <si>
    <t>00317.000574/2024-08</t>
  </si>
  <si>
    <t>Construção de Areninha</t>
  </si>
  <si>
    <t>Elesbão Veloso</t>
  </si>
  <si>
    <t>Mercado Público</t>
  </si>
  <si>
    <t>00317.000171/2025-31</t>
  </si>
  <si>
    <t>Construção do Mercado Público Municipal</t>
  </si>
  <si>
    <t>00224.000813/2025-31</t>
  </si>
  <si>
    <t>Pavimentação em Paralelepípedo (3.000m²)</t>
  </si>
  <si>
    <t>Ginasio</t>
  </si>
  <si>
    <t>00317.00227/2025-58</t>
  </si>
  <si>
    <t>Construção de 01 Ginasio Poliesportivo</t>
  </si>
  <si>
    <t>Jose de Freitas</t>
  </si>
  <si>
    <t>00224.000670/2025-68</t>
  </si>
  <si>
    <t>Pavimentação em Paralelepipedo (4.416m²)</t>
  </si>
  <si>
    <t>Massapê do Piauí</t>
  </si>
  <si>
    <t>00317.000783/2025-24</t>
  </si>
  <si>
    <t>Pavimentação em Paralelepípedo (2.000m²)</t>
  </si>
  <si>
    <t>00317.000371/2025-94</t>
  </si>
  <si>
    <t>Construção Areninha na Localidade Matões</t>
  </si>
  <si>
    <t>Milton Brandão</t>
  </si>
  <si>
    <t>Pavimentação em Paralelepípedo (4.510,00²)</t>
  </si>
  <si>
    <t>Monsenhor Hipolito</t>
  </si>
  <si>
    <t>00224.000679/2025-79</t>
  </si>
  <si>
    <t>Pavimentação em Paralelepípedo (3.500m²)</t>
  </si>
  <si>
    <t>Parnaiba 1</t>
  </si>
  <si>
    <t>00119.001292/2025-37</t>
  </si>
  <si>
    <t>Revitalização da Avenida Pinheiro Machado</t>
  </si>
  <si>
    <t>São Lourenço do Piauí</t>
  </si>
  <si>
    <t>00317.000803/2025-67</t>
  </si>
  <si>
    <t>Sigefredo Pacheco</t>
  </si>
  <si>
    <t>00119.000295/2025-53</t>
  </si>
  <si>
    <t>Pavimentação em Paralelepipedo (8.080m²)</t>
  </si>
  <si>
    <t>Etapa 2 Obras Diversas</t>
  </si>
  <si>
    <t>Diversos</t>
  </si>
  <si>
    <t>Pavimentação em paralelepípedo 14.406,90 m²</t>
  </si>
  <si>
    <t>Cabeceiras do Piauí</t>
  </si>
  <si>
    <t>Pavimentação em paralelepípedo 1.106,84 m² e construção de praça e academia na localidade Baixa de Trás</t>
  </si>
  <si>
    <t>Diversos municípios</t>
  </si>
  <si>
    <t>Aquisição de 71 kits de irrigação de 4.500 m²</t>
  </si>
  <si>
    <t>Aquisição de 143 kits de irrigação de 4.500 m²</t>
  </si>
  <si>
    <t>Novo Santo Antônio</t>
  </si>
  <si>
    <t>Construção de 3 passagens molhadas nas localidades Agrovila, Santa Luzia e Tamanduá</t>
  </si>
  <si>
    <t>Pavimentação em paralelepípedo 2.106,00 m²</t>
  </si>
  <si>
    <t>Thales</t>
  </si>
  <si>
    <t>Urbanização da rodovia Transamazônica (BR-230), trecho II</t>
  </si>
  <si>
    <t>Etapa 0 Vicinal</t>
  </si>
  <si>
    <t>Etapa 0 Obras Diversas</t>
  </si>
  <si>
    <t>00317.000798/2025-92</t>
  </si>
  <si>
    <t>Aditivo de pavimentacao</t>
  </si>
  <si>
    <t>00317.000799/2025-37</t>
  </si>
  <si>
    <t>Regeneracao</t>
  </si>
  <si>
    <t>00317.000484/2025-90</t>
  </si>
  <si>
    <t>São Joao do Piaui</t>
  </si>
  <si>
    <t>00317.000800/2025-23</t>
  </si>
  <si>
    <t>Moacyr Moura</t>
  </si>
  <si>
    <t>Valença</t>
  </si>
  <si>
    <t>Dr Samuel / Kassio</t>
  </si>
  <si>
    <t>00317.001206/2025-50</t>
  </si>
  <si>
    <t>00317.001205/2025-13</t>
  </si>
  <si>
    <t>00317.001208/2025-49</t>
  </si>
  <si>
    <t>Capitão Gervasio Oliveira</t>
  </si>
  <si>
    <t>00317.000342/2025-22</t>
  </si>
  <si>
    <t>Pavimentação em Paralelepipedo (6.437m²)</t>
  </si>
  <si>
    <t>A DEFINIR</t>
  </si>
  <si>
    <t>00119.001145/2025-67</t>
  </si>
  <si>
    <t>Pavimentação em Paralelepípedo (6.000,00m²)</t>
  </si>
  <si>
    <t>Itaueira</t>
  </si>
  <si>
    <t>00224.000739/2025-53</t>
  </si>
  <si>
    <t>Joca Marques</t>
  </si>
  <si>
    <t>00119.001188/2025-42</t>
  </si>
  <si>
    <t>Pavimentação em Paralelepípedo (3.600m²)</t>
  </si>
  <si>
    <t>Ribeiro Goncalves</t>
  </si>
  <si>
    <t>Santana do Piauí</t>
  </si>
  <si>
    <t>00317.000363/2025-48</t>
  </si>
  <si>
    <t>Pavimentação em Paralelepípedo (5.995m²)</t>
  </si>
  <si>
    <t>São Félix do Piauí</t>
  </si>
  <si>
    <t>00119.001146/2025-10</t>
  </si>
  <si>
    <t>Pavimentação em Paralelepípedo (4.200m²)</t>
  </si>
  <si>
    <t>Tanque do Piauí</t>
  </si>
  <si>
    <t>00317.000856/2025-88</t>
  </si>
  <si>
    <t>Pavimentação em Paralelepípedo (5.000m²)</t>
  </si>
  <si>
    <t>Bela Vista do Piauí</t>
  </si>
  <si>
    <t>Reforma</t>
  </si>
  <si>
    <t>00317.000341/2025-88</t>
  </si>
  <si>
    <t>Reforma de Estádio Municipal</t>
  </si>
  <si>
    <t>Sem sei</t>
  </si>
  <si>
    <t>Pavimentação em Paralelepipedo (3.600m2)</t>
  </si>
  <si>
    <t>Lagoa do Barro</t>
  </si>
  <si>
    <t>Praça</t>
  </si>
  <si>
    <t>2 Pracinhas nas Localidades Sitio do Meio e Manguinha</t>
  </si>
  <si>
    <t>Rio Grande do Piauí</t>
  </si>
  <si>
    <t>Poços</t>
  </si>
  <si>
    <t>00317.000372/2025-39</t>
  </si>
  <si>
    <t>2 Poços Tubulares</t>
  </si>
  <si>
    <t>Tamboril do Piauí</t>
  </si>
  <si>
    <t>Pavimentação em Paralelepipedo (10.000m2)</t>
  </si>
  <si>
    <t>Urbanização</t>
  </si>
  <si>
    <t>Urbanização do Bairro Estação</t>
  </si>
  <si>
    <t>Parnaiba 2</t>
  </si>
  <si>
    <t>00317.000543/2025-20</t>
  </si>
  <si>
    <t>Passeio e Ciclovia</t>
  </si>
  <si>
    <t>Alto Longá</t>
  </si>
  <si>
    <t>Arena</t>
  </si>
  <si>
    <t>Barro Duro</t>
  </si>
  <si>
    <t>Pavimentação em Paralelepipedo (5.000m²)</t>
  </si>
  <si>
    <t>Canto do Buriti</t>
  </si>
  <si>
    <t>Pavimentação em Paralelepípedo</t>
  </si>
  <si>
    <t>Capitão Gervásio Oliveira</t>
  </si>
  <si>
    <t>Revitalização</t>
  </si>
  <si>
    <t>Reforma da Praça Municipal</t>
  </si>
  <si>
    <t>Colônia do Piauí</t>
  </si>
  <si>
    <t>Pavimentação em Paralelepípedo (4.000m²)</t>
  </si>
  <si>
    <t>Coronel José Dias</t>
  </si>
  <si>
    <t>Recurso para Perfuração de Poços</t>
  </si>
  <si>
    <t>Corrente</t>
  </si>
  <si>
    <t>Flores do Piauí</t>
  </si>
  <si>
    <t>Pavimentação em Paralelepípedo (7.000m²)</t>
  </si>
  <si>
    <t>Inhuma</t>
  </si>
  <si>
    <t>Pavimentação em Paralelepípedo (6.000m²)</t>
  </si>
  <si>
    <t>Pavimentação em Paralelepípedo (30.000m²)</t>
  </si>
  <si>
    <t>Madeiro</t>
  </si>
  <si>
    <t>Monte Alegre</t>
  </si>
  <si>
    <t>Vereadores Parnaiba</t>
  </si>
  <si>
    <t>Vereadores Picos</t>
  </si>
  <si>
    <t>Vereadores Pedro II</t>
  </si>
  <si>
    <t>Pavussu</t>
  </si>
  <si>
    <t>Pavimentação em Paralelepípedo (3.200m²)</t>
  </si>
  <si>
    <t>São José do Divino</t>
  </si>
  <si>
    <t>São Miguel do Tapuio</t>
  </si>
  <si>
    <t>Sei</t>
  </si>
  <si>
    <t>Etapa 4 Obras Diversas</t>
  </si>
  <si>
    <t>Etapa 3 Obras Diversas</t>
  </si>
  <si>
    <t>00317.000172/2025-86</t>
  </si>
  <si>
    <t>Capitão de Campos</t>
  </si>
  <si>
    <t>Reforma Colonia Pescadores</t>
  </si>
  <si>
    <t>complemento Pavimentação em paralelepípedo 7.000,00  m²</t>
  </si>
  <si>
    <t>Abastecimento de Àgua</t>
  </si>
  <si>
    <t>Abastecimento de Água</t>
  </si>
  <si>
    <t>00317.000544/2025-74</t>
  </si>
  <si>
    <t>Revitalização da Orla do Açude Joana</t>
  </si>
  <si>
    <t>00119.001266/2025-17</t>
  </si>
  <si>
    <t>00317.000845/2025-06</t>
  </si>
  <si>
    <t>STATUS</t>
  </si>
  <si>
    <t>INICIADO</t>
  </si>
  <si>
    <t>AGUARDADO ORC</t>
  </si>
  <si>
    <t>Júnior Bill / Fábio Xavier</t>
  </si>
  <si>
    <t>Diego Teixeira / Fábio Xavier</t>
  </si>
  <si>
    <t>Gabriela Nunes / Fábio Xavier</t>
  </si>
  <si>
    <t>Pavimentação Asfaltica (15.000,00m²)</t>
  </si>
  <si>
    <t>Pavimentação Asfaltica (10.000,00m²)</t>
  </si>
  <si>
    <t>AGUARDADO PLANO DE TRABALHO</t>
  </si>
  <si>
    <t>CONTRATADO</t>
  </si>
  <si>
    <t>CONTRATADO / EXTERNO</t>
  </si>
  <si>
    <t>PABLO SANTOS</t>
  </si>
  <si>
    <t>Pavimentação em Paralelepípedo (10.000,00m²)</t>
  </si>
  <si>
    <t>AGUARDANDO PGE</t>
  </si>
  <si>
    <t>AGUARDANDO LIBERAÇÃO</t>
  </si>
  <si>
    <t>FASE DE LICITAÇÃO</t>
  </si>
  <si>
    <t>AGUARDANDO</t>
  </si>
  <si>
    <t>FINALIZANDO PROJETO</t>
  </si>
  <si>
    <t>Pavimentação em Paralelepípedo (4.950m²)</t>
  </si>
  <si>
    <t>Construção da Praça do Alto do Meio</t>
  </si>
  <si>
    <t>Construção de Praça</t>
  </si>
  <si>
    <t>Jatobá do Piauí</t>
  </si>
  <si>
    <t>Eugenio Cavalcante</t>
  </si>
  <si>
    <t>Eleonora Uchoa</t>
  </si>
  <si>
    <t>Contador Samuel</t>
  </si>
  <si>
    <t>Reginaldo Gomes</t>
  </si>
  <si>
    <t>Roberio Leite</t>
  </si>
  <si>
    <t>Fabiano da Lagoa</t>
  </si>
  <si>
    <t>Carlinhos</t>
  </si>
  <si>
    <t>Renatinho</t>
  </si>
  <si>
    <t>Neta da Kolping</t>
  </si>
  <si>
    <t>Zé Filho Caxingó</t>
  </si>
  <si>
    <t>Ruan Benicio</t>
  </si>
  <si>
    <t>Bigode</t>
  </si>
  <si>
    <t>1m de calçamento +300k de asfalto</t>
  </si>
  <si>
    <t>Julio Cesar</t>
  </si>
  <si>
    <t>Netinho</t>
  </si>
  <si>
    <t>5000m²</t>
  </si>
  <si>
    <t>7163m²</t>
  </si>
  <si>
    <t>3773m²</t>
  </si>
  <si>
    <t>Haroldo do Mercadinho</t>
  </si>
  <si>
    <t>Michele Maroca</t>
  </si>
  <si>
    <t>Hilderlene Brito</t>
  </si>
  <si>
    <t>Wellington Sena</t>
  </si>
  <si>
    <t>Zé Raimundo</t>
  </si>
  <si>
    <t>Pavimentação em Paralelepipedo</t>
  </si>
  <si>
    <t>A Definir</t>
  </si>
  <si>
    <t>Pavimentação em Paralelepipedo (3.773m2)</t>
  </si>
  <si>
    <t>(86) 99446-3599</t>
  </si>
  <si>
    <t>(86) 99545-5383</t>
  </si>
  <si>
    <t>(86) 99427-2451</t>
  </si>
  <si>
    <t>(86) 98168-1950</t>
  </si>
  <si>
    <t>(86) 98177-5474</t>
  </si>
  <si>
    <t>(86) 99426-5953</t>
  </si>
  <si>
    <t>(86) 99487-8373</t>
  </si>
  <si>
    <t>(86) 99430-9674</t>
  </si>
  <si>
    <t>(86) 98801-4337</t>
  </si>
  <si>
    <t>(86) 99983-8370</t>
  </si>
  <si>
    <t>(86) 99544-4842</t>
  </si>
  <si>
    <t>(86) 99530-2934</t>
  </si>
  <si>
    <t>(86) 98169-7516</t>
  </si>
  <si>
    <t>Descrição</t>
  </si>
  <si>
    <t>Data</t>
  </si>
  <si>
    <t>(86) 98142-5011</t>
  </si>
  <si>
    <t>Supermercado</t>
  </si>
  <si>
    <t>Pães de Queijo</t>
  </si>
  <si>
    <t>Saldo Inicial</t>
  </si>
  <si>
    <t>Saldo em Caixa</t>
  </si>
  <si>
    <t>(86) 99447-7379</t>
  </si>
  <si>
    <t>(86) 99954-0324</t>
  </si>
  <si>
    <t>(86) 99948-4345</t>
  </si>
  <si>
    <t>(86) 99409-9535</t>
  </si>
  <si>
    <t>(86) 99420-3281</t>
  </si>
  <si>
    <t>Orgão</t>
  </si>
  <si>
    <t>DER</t>
  </si>
  <si>
    <t>SEINFRA</t>
  </si>
  <si>
    <t>Pavimentação Asfaltica (10.056,00m²)</t>
  </si>
  <si>
    <t>SEAGRO</t>
  </si>
  <si>
    <t>00317.000683/2025-06</t>
  </si>
  <si>
    <t>O.S. PUBLICADA</t>
  </si>
  <si>
    <t>IDEPI</t>
  </si>
  <si>
    <t>SETRANS</t>
  </si>
  <si>
    <t>00119.000060/2026-42</t>
  </si>
  <si>
    <t>00119.000118/2026-58</t>
  </si>
  <si>
    <t>Pavimentação Asfaltica (38.997,50m²)</t>
  </si>
  <si>
    <t>Pavimentação Asfaltica (10.162,55m²)</t>
  </si>
  <si>
    <t>Pavimentação Asfaltica (7.145,78m²)</t>
  </si>
  <si>
    <t>Pavimentação Asfaltica (16.244,30m²)</t>
  </si>
  <si>
    <t>Pavimentação Asfaltica (9.605,00m²)</t>
  </si>
  <si>
    <t>Pavimentação Asfaltica (15.432,00m²)</t>
  </si>
  <si>
    <t>00317.000846/2025-42</t>
  </si>
  <si>
    <t>00317.000439/2025-35</t>
  </si>
  <si>
    <t>00317.000414/2025-31</t>
  </si>
  <si>
    <t>00119.001264/2025-10</t>
  </si>
  <si>
    <t>00317.000844/2025-53</t>
  </si>
  <si>
    <t>Pavimentação em Paralelepípedo (3.126,00m²)</t>
  </si>
  <si>
    <t>Pavimentação em Paralelepípedo (1.980m²)</t>
  </si>
  <si>
    <t>Parnaiba</t>
  </si>
  <si>
    <t>AGUARDANDO CONTRATAÇÃO</t>
  </si>
  <si>
    <t>VALOR TOTAL FASE 1</t>
  </si>
  <si>
    <t>Passagem Molhada</t>
  </si>
  <si>
    <t>Construção de Passagem Molhada</t>
  </si>
  <si>
    <t>00013.000339/2025-23</t>
  </si>
  <si>
    <t>Patos do Piauí</t>
  </si>
  <si>
    <t>Reforma/Outros</t>
  </si>
  <si>
    <t>Arena/Ginasio</t>
  </si>
  <si>
    <t>Abastecimento de água</t>
  </si>
  <si>
    <t>Vicinal</t>
  </si>
  <si>
    <t>Urbanização da Entrada da Cidade</t>
  </si>
  <si>
    <t xml:space="preserve">Pavimentação em Paralelepipedo </t>
  </si>
  <si>
    <t>Construção de uma praça</t>
  </si>
  <si>
    <t>Vicinal 33,5km</t>
  </si>
  <si>
    <t>Pavimentação em Paralelepípedo (5.010m²)</t>
  </si>
  <si>
    <t>Pavimentação em Paralelepípedo (5.187m²)</t>
  </si>
  <si>
    <t>Reforma Colonia de Pescadores</t>
  </si>
  <si>
    <t>00119.001265/2025-64</t>
  </si>
  <si>
    <t>00119.001500/2025-06</t>
  </si>
  <si>
    <t>00119.000347/2025-91</t>
  </si>
  <si>
    <t>00317.000785/2025-13</t>
  </si>
  <si>
    <t>00317.000784/2025-79</t>
  </si>
  <si>
    <t>00317.001238/2025-55</t>
  </si>
  <si>
    <t>AGUARDANDO LIBERAÇÃO DA CGFR</t>
  </si>
  <si>
    <t>Cocal da Estação</t>
  </si>
  <si>
    <t>Monsenhor Gil</t>
  </si>
  <si>
    <t>Construção de 1 Ginasio Poliesportivo</t>
  </si>
  <si>
    <t>00317.000298/2025-51</t>
  </si>
  <si>
    <t>Construção de 01 Areninha</t>
  </si>
  <si>
    <t>Etapa 2</t>
  </si>
  <si>
    <t>01 Areninha / Mirialdo</t>
  </si>
  <si>
    <t>01 Campo de Futebol / Zé Maria do Coqueiro</t>
  </si>
  <si>
    <t>Pavimentação em Paralelepípedo (6.589,90m²)</t>
  </si>
  <si>
    <t>OBRAS DIVERSAS - AVALIAR</t>
  </si>
  <si>
    <t>PUBLICAÇÃO DA OS</t>
  </si>
  <si>
    <t>OS. PUBLICADAS</t>
  </si>
  <si>
    <t>Solicitação Medição</t>
  </si>
  <si>
    <t>Status Medição</t>
  </si>
  <si>
    <t>Data Medição</t>
  </si>
  <si>
    <t>SEI MEDIÇÃO</t>
  </si>
  <si>
    <t>00317.000119/2026-66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</si>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</sst>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6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.5"/>
      <color theme="0"/>
      <name val="Calibri"/>
      <family val="2"/>
      <scheme val="minor"/>
    </font>
    <font>
      <b/>
      <sz val="13.5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.5"/>
      <color theme="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b/>
      <i/>
      <sz val="11.5"/>
      <color theme="1"/>
      <name val="Calibri"/>
      <family val="2"/>
    </font>
    <font>
      <b/>
      <i/>
      <sz val="11.5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.5"/>
      <color theme="0"/>
      <name val="Calibri"/>
      <family val="2"/>
      <scheme val="minor"/>
    </font>
    <font>
      <b/>
      <i/>
      <sz val="11.5"/>
      <color rgb="FFFF0000"/>
      <name val="Calibri"/>
      <family val="2"/>
    </font>
    <font>
      <b/>
      <sz val="11.5"/>
      <name val="Calibri"/>
      <family val="2"/>
    </font>
    <font>
      <b/>
      <sz val="11"/>
      <name val="Calibri"/>
      <family val="2"/>
      <scheme val="minor"/>
    </font>
    <font>
      <sz val="11.5"/>
      <color theme="1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8" fillId="0" borderId="0" applyFont="0" applyFill="0" applyBorder="0" applyAlignment="0" applyProtection="0"/>
  </cellStyleXfs>
  <cellXfs count="25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2" borderId="0" xfId="0" applyNumberFormat="1" applyFont="1" applyFill="1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164" fontId="3" fillId="3" borderId="6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164" fontId="3" fillId="3" borderId="4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164" fontId="1" fillId="0" borderId="6" xfId="0" applyNumberFormat="1" applyFont="1" applyBorder="1"/>
    <xf numFmtId="0" fontId="1" fillId="5" borderId="5" xfId="0" applyFont="1" applyFill="1" applyBorder="1"/>
    <xf numFmtId="0" fontId="1" fillId="5" borderId="7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164" fontId="6" fillId="0" borderId="0" xfId="0" applyNumberFormat="1" applyFont="1"/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8" fillId="0" borderId="0" xfId="0" applyNumberFormat="1" applyFont="1"/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164" fontId="10" fillId="0" borderId="0" xfId="0" applyNumberFormat="1" applyFont="1"/>
    <xf numFmtId="0" fontId="12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vertical="center"/>
    </xf>
    <xf numFmtId="0" fontId="10" fillId="8" borderId="13" xfId="0" applyFont="1" applyFill="1" applyBorder="1" applyAlignment="1">
      <alignment vertical="center"/>
    </xf>
    <xf numFmtId="0" fontId="10" fillId="8" borderId="13" xfId="0" applyFont="1" applyFill="1" applyBorder="1" applyAlignment="1">
      <alignment horizontal="center" vertical="center"/>
    </xf>
    <xf numFmtId="164" fontId="10" fillId="8" borderId="14" xfId="0" applyNumberFormat="1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9" borderId="12" xfId="0" applyFont="1" applyFill="1" applyBorder="1" applyAlignment="1">
      <alignment vertical="center"/>
    </xf>
    <xf numFmtId="0" fontId="12" fillId="9" borderId="13" xfId="0" applyFont="1" applyFill="1" applyBorder="1" applyAlignment="1">
      <alignment horizontal="center" vertical="center"/>
    </xf>
    <xf numFmtId="164" fontId="13" fillId="9" borderId="14" xfId="0" applyNumberFormat="1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164" fontId="10" fillId="5" borderId="0" xfId="0" applyNumberFormat="1" applyFont="1" applyFill="1" applyAlignment="1">
      <alignment vertic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/>
    <xf numFmtId="4" fontId="2" fillId="2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5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16" fillId="2" borderId="10" xfId="0" applyFont="1" applyFill="1" applyBorder="1" applyAlignment="1">
      <alignment horizontal="center"/>
    </xf>
    <xf numFmtId="164" fontId="16" fillId="2" borderId="1" xfId="0" applyNumberFormat="1" applyFont="1" applyFill="1" applyBorder="1"/>
    <xf numFmtId="164" fontId="6" fillId="0" borderId="0" xfId="0" applyNumberFormat="1" applyFont="1" applyAlignment="1">
      <alignment horizontal="center"/>
    </xf>
    <xf numFmtId="0" fontId="6" fillId="10" borderId="0" xfId="0" applyFont="1" applyFill="1"/>
    <xf numFmtId="0" fontId="6" fillId="10" borderId="16" xfId="0" applyFont="1" applyFill="1" applyBorder="1"/>
    <xf numFmtId="0" fontId="6" fillId="10" borderId="17" xfId="0" applyFont="1" applyFill="1" applyBorder="1"/>
    <xf numFmtId="0" fontId="6" fillId="10" borderId="17" xfId="0" applyFont="1" applyFill="1" applyBorder="1" applyAlignment="1">
      <alignment horizontal="center"/>
    </xf>
    <xf numFmtId="164" fontId="6" fillId="10" borderId="18" xfId="0" applyNumberFormat="1" applyFont="1" applyFill="1" applyBorder="1"/>
    <xf numFmtId="0" fontId="6" fillId="0" borderId="17" xfId="0" applyFont="1" applyBorder="1" applyAlignment="1">
      <alignment horizontal="center"/>
    </xf>
    <xf numFmtId="164" fontId="6" fillId="0" borderId="18" xfId="0" applyNumberFormat="1" applyFont="1" applyBorder="1"/>
    <xf numFmtId="0" fontId="6" fillId="0" borderId="19" xfId="0" applyFont="1" applyBorder="1"/>
    <xf numFmtId="0" fontId="6" fillId="0" borderId="20" xfId="0" applyFont="1" applyBorder="1"/>
    <xf numFmtId="164" fontId="2" fillId="2" borderId="20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4" fontId="1" fillId="0" borderId="17" xfId="0" applyNumberFormat="1" applyFont="1" applyBorder="1" applyAlignment="1">
      <alignment horizontal="center"/>
    </xf>
    <xf numFmtId="164" fontId="1" fillId="0" borderId="17" xfId="0" applyNumberFormat="1" applyFont="1" applyBorder="1"/>
    <xf numFmtId="164" fontId="1" fillId="0" borderId="18" xfId="0" applyNumberFormat="1" applyFont="1" applyBorder="1" applyAlignment="1">
      <alignment horizontal="center"/>
    </xf>
    <xf numFmtId="0" fontId="6" fillId="5" borderId="16" xfId="0" applyFont="1" applyFill="1" applyBorder="1"/>
    <xf numFmtId="0" fontId="6" fillId="5" borderId="17" xfId="0" applyFont="1" applyFill="1" applyBorder="1"/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/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64" fontId="6" fillId="5" borderId="18" xfId="0" applyNumberFormat="1" applyFont="1" applyFill="1" applyBorder="1"/>
    <xf numFmtId="0" fontId="6" fillId="5" borderId="16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0" xfId="0" applyFont="1" applyFill="1"/>
    <xf numFmtId="0" fontId="6" fillId="5" borderId="19" xfId="0" applyFont="1" applyFill="1" applyBorder="1"/>
    <xf numFmtId="0" fontId="6" fillId="5" borderId="20" xfId="0" applyFont="1" applyFill="1" applyBorder="1"/>
    <xf numFmtId="0" fontId="18" fillId="0" borderId="0" xfId="0" applyFont="1"/>
    <xf numFmtId="0" fontId="0" fillId="0" borderId="21" xfId="0" applyBorder="1" applyAlignment="1">
      <alignment horizontal="center"/>
    </xf>
    <xf numFmtId="0" fontId="0" fillId="0" borderId="21" xfId="0" applyBorder="1"/>
    <xf numFmtId="164" fontId="0" fillId="0" borderId="21" xfId="0" applyNumberFormat="1" applyBorder="1"/>
    <xf numFmtId="0" fontId="6" fillId="0" borderId="0" xfId="0" applyFont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164" fontId="7" fillId="2" borderId="2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164" fontId="0" fillId="0" borderId="23" xfId="0" applyNumberFormat="1" applyBorder="1"/>
    <xf numFmtId="0" fontId="17" fillId="2" borderId="10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164" fontId="17" fillId="2" borderId="11" xfId="0" applyNumberFormat="1" applyFont="1" applyFill="1" applyBorder="1" applyAlignment="1">
      <alignment horizontal="center"/>
    </xf>
    <xf numFmtId="0" fontId="19" fillId="0" borderId="0" xfId="0" applyFont="1"/>
    <xf numFmtId="0" fontId="20" fillId="2" borderId="24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164" fontId="20" fillId="2" borderId="26" xfId="0" applyNumberFormat="1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164" fontId="19" fillId="0" borderId="2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/>
    <xf numFmtId="0" fontId="19" fillId="0" borderId="2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7" fillId="2" borderId="3" xfId="0" applyFont="1" applyFill="1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left"/>
    </xf>
    <xf numFmtId="164" fontId="20" fillId="2" borderId="27" xfId="0" applyNumberFormat="1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19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2" fillId="0" borderId="21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/>
    </xf>
    <xf numFmtId="164" fontId="19" fillId="0" borderId="23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0" fillId="4" borderId="21" xfId="0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20" fillId="2" borderId="26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21" xfId="0" applyNumberFormat="1" applyBorder="1" applyAlignment="1">
      <alignment horizontal="left" vertical="center"/>
    </xf>
    <xf numFmtId="0" fontId="19" fillId="12" borderId="21" xfId="0" applyFont="1" applyFill="1" applyBorder="1" applyAlignment="1">
      <alignment horizontal="center" vertical="center"/>
    </xf>
    <xf numFmtId="0" fontId="0" fillId="13" borderId="21" xfId="0" applyFill="1" applyBorder="1" applyAlignment="1">
      <alignment horizontal="center"/>
    </xf>
    <xf numFmtId="0" fontId="19" fillId="4" borderId="21" xfId="0" applyFont="1" applyFill="1" applyBorder="1" applyAlignment="1">
      <alignment horizontal="center" vertical="center"/>
    </xf>
    <xf numFmtId="0" fontId="0" fillId="6" borderId="0" xfId="0" applyFill="1"/>
    <xf numFmtId="164" fontId="29" fillId="0" borderId="0" xfId="0" applyNumberFormat="1" applyFont="1"/>
    <xf numFmtId="164" fontId="0" fillId="0" borderId="0" xfId="1" applyNumberFormat="1" applyFont="1"/>
    <xf numFmtId="0" fontId="7" fillId="2" borderId="0" xfId="0" applyFont="1" applyFill="1" applyAlignment="1">
      <alignment horizontal="center"/>
    </xf>
    <xf numFmtId="164" fontId="9" fillId="0" borderId="0" xfId="0" applyNumberFormat="1" applyFont="1"/>
    <xf numFmtId="0" fontId="19" fillId="0" borderId="29" xfId="0" applyFont="1" applyBorder="1" applyAlignment="1">
      <alignment horizontal="center" vertical="center"/>
    </xf>
    <xf numFmtId="164" fontId="19" fillId="0" borderId="29" xfId="0" applyNumberFormat="1" applyFont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164" fontId="30" fillId="2" borderId="27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/>
    </xf>
    <xf numFmtId="164" fontId="7" fillId="2" borderId="0" xfId="0" applyNumberFormat="1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0" fontId="31" fillId="0" borderId="0" xfId="0" applyFont="1" applyAlignment="1">
      <alignment horizontal="left" vertical="center"/>
    </xf>
    <xf numFmtId="0" fontId="22" fillId="0" borderId="2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left" vertical="center" wrapText="1"/>
    </xf>
    <xf numFmtId="0" fontId="32" fillId="14" borderId="1" xfId="0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center"/>
    </xf>
    <xf numFmtId="164" fontId="32" fillId="14" borderId="1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164" fontId="8" fillId="14" borderId="1" xfId="0" applyNumberFormat="1" applyFont="1" applyFill="1" applyBorder="1" applyAlignment="1">
      <alignment horizontal="center" vertical="center"/>
    </xf>
    <xf numFmtId="0" fontId="0" fillId="5" borderId="21" xfId="0" applyFill="1" applyBorder="1"/>
    <xf numFmtId="164" fontId="0" fillId="5" borderId="21" xfId="0" applyNumberFormat="1" applyFill="1" applyBorder="1"/>
    <xf numFmtId="0" fontId="0" fillId="5" borderId="21" xfId="0" applyFill="1" applyBorder="1" applyAlignment="1">
      <alignment horizontal="center"/>
    </xf>
    <xf numFmtId="0" fontId="34" fillId="0" borderId="23" xfId="0" applyFont="1" applyBorder="1"/>
    <xf numFmtId="0" fontId="34" fillId="0" borderId="23" xfId="0" applyFont="1" applyBorder="1" applyAlignment="1">
      <alignment horizontal="center"/>
    </xf>
    <xf numFmtId="14" fontId="34" fillId="0" borderId="23" xfId="0" applyNumberFormat="1" applyFont="1" applyBorder="1" applyAlignment="1">
      <alignment horizontal="center"/>
    </xf>
    <xf numFmtId="164" fontId="34" fillId="0" borderId="23" xfId="0" applyNumberFormat="1" applyFont="1" applyBorder="1"/>
    <xf numFmtId="0" fontId="34" fillId="0" borderId="21" xfId="0" applyFont="1" applyBorder="1"/>
    <xf numFmtId="0" fontId="34" fillId="0" borderId="21" xfId="0" applyFont="1" applyBorder="1" applyAlignment="1">
      <alignment horizontal="center"/>
    </xf>
    <xf numFmtId="14" fontId="34" fillId="0" borderId="21" xfId="0" applyNumberFormat="1" applyFont="1" applyBorder="1" applyAlignment="1">
      <alignment horizontal="center"/>
    </xf>
    <xf numFmtId="164" fontId="34" fillId="0" borderId="21" xfId="0" applyNumberFormat="1" applyFont="1" applyBorder="1"/>
    <xf numFmtId="0" fontId="30" fillId="2" borderId="1" xfId="0" applyFont="1" applyFill="1" applyBorder="1" applyAlignment="1">
      <alignment horizontal="center" vertical="center"/>
    </xf>
    <xf numFmtId="0" fontId="34" fillId="11" borderId="23" xfId="0" applyFont="1" applyFill="1" applyBorder="1" applyAlignment="1">
      <alignment horizontal="center"/>
    </xf>
    <xf numFmtId="164" fontId="34" fillId="0" borderId="29" xfId="0" applyNumberFormat="1" applyFont="1" applyBorder="1"/>
    <xf numFmtId="0" fontId="0" fillId="4" borderId="21" xfId="0" applyFill="1" applyBorder="1"/>
    <xf numFmtId="0" fontId="0" fillId="4" borderId="21" xfId="0" applyFill="1" applyBorder="1" applyAlignment="1">
      <alignment horizontal="left" vertical="center"/>
    </xf>
    <xf numFmtId="164" fontId="0" fillId="4" borderId="21" xfId="0" applyNumberFormat="1" applyFill="1" applyBorder="1"/>
    <xf numFmtId="164" fontId="0" fillId="4" borderId="21" xfId="0" applyNumberFormat="1" applyFill="1" applyBorder="1" applyAlignment="1">
      <alignment horizontal="left" vertical="center"/>
    </xf>
    <xf numFmtId="0" fontId="19" fillId="15" borderId="2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164" fontId="8" fillId="11" borderId="1" xfId="0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1" fillId="0" borderId="21" xfId="0" applyFont="1" applyBorder="1" applyAlignment="1">
      <alignment horizontal="left" vertical="center"/>
    </xf>
    <xf numFmtId="164" fontId="21" fillId="0" borderId="21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center"/>
    </xf>
    <xf numFmtId="0" fontId="35" fillId="0" borderId="21" xfId="0" applyFont="1" applyBorder="1"/>
    <xf numFmtId="164" fontId="35" fillId="0" borderId="21" xfId="0" applyNumberFormat="1" applyFont="1" applyBorder="1"/>
    <xf numFmtId="0" fontId="0" fillId="16" borderId="21" xfId="0" applyFill="1" applyBorder="1" applyAlignment="1">
      <alignment horizontal="center"/>
    </xf>
    <xf numFmtId="0" fontId="35" fillId="16" borderId="21" xfId="0" applyFont="1" applyFill="1" applyBorder="1" applyAlignment="1">
      <alignment horizontal="center"/>
    </xf>
    <xf numFmtId="0" fontId="35" fillId="14" borderId="21" xfId="0" applyFont="1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0" fontId="19" fillId="17" borderId="21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30" fillId="2" borderId="1" xfId="0" applyNumberFormat="1" applyFont="1" applyFill="1" applyBorder="1" applyAlignment="1">
      <alignment horizontal="center" vertical="center"/>
    </xf>
    <xf numFmtId="164" fontId="34" fillId="0" borderId="23" xfId="0" applyNumberFormat="1" applyFont="1" applyBorder="1" applyAlignment="1">
      <alignment horizontal="center"/>
    </xf>
    <xf numFmtId="164" fontId="34" fillId="0" borderId="21" xfId="0" applyNumberFormat="1" applyFont="1" applyBorder="1" applyAlignment="1">
      <alignment horizontal="center"/>
    </xf>
    <xf numFmtId="164" fontId="34" fillId="0" borderId="29" xfId="0" applyNumberFormat="1" applyFont="1" applyBorder="1" applyAlignment="1">
      <alignment horizontal="center"/>
    </xf>
    <xf numFmtId="164" fontId="34" fillId="11" borderId="23" xfId="0" applyNumberFormat="1" applyFont="1" applyFill="1" applyBorder="1" applyAlignment="1">
      <alignment horizontal="center"/>
    </xf>
    <xf numFmtId="0" fontId="34" fillId="4" borderId="21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0" fillId="0" borderId="21" xfId="0" applyFont="1" applyBorder="1"/>
    <xf numFmtId="0" fontId="34" fillId="0" borderId="32" xfId="0" applyFont="1" applyBorder="1"/>
    <xf numFmtId="0" fontId="34" fillId="0" borderId="32" xfId="0" applyFont="1" applyBorder="1" applyAlignment="1">
      <alignment horizontal="center"/>
    </xf>
    <xf numFmtId="0" fontId="34" fillId="11" borderId="32" xfId="0" applyFont="1" applyFill="1" applyBorder="1" applyAlignment="1">
      <alignment horizontal="center"/>
    </xf>
    <xf numFmtId="164" fontId="34" fillId="11" borderId="32" xfId="0" applyNumberFormat="1" applyFont="1" applyFill="1" applyBorder="1" applyAlignment="1">
      <alignment horizontal="center"/>
    </xf>
    <xf numFmtId="164" fontId="34" fillId="0" borderId="32" xfId="0" applyNumberFormat="1" applyFont="1" applyBorder="1"/>
    <xf numFmtId="0" fontId="30" fillId="0" borderId="21" xfId="0" applyFont="1" applyFill="1" applyBorder="1" applyAlignment="1">
      <alignment horizontal="center"/>
    </xf>
    <xf numFmtId="164" fontId="30" fillId="0" borderId="21" xfId="0" applyNumberFormat="1" applyFont="1" applyFill="1" applyBorder="1" applyAlignment="1">
      <alignment horizontal="center"/>
    </xf>
    <xf numFmtId="0" fontId="0" fillId="0" borderId="21" xfId="0" applyFill="1" applyBorder="1"/>
    <xf numFmtId="164" fontId="0" fillId="0" borderId="21" xfId="0" applyNumberFormat="1" applyFill="1" applyBorder="1"/>
  </cellXfs>
  <cellStyles count="2">
    <cellStyle name="Moeda" xfId="1" builtinId="4"/>
    <cellStyle name="Normal" xfId="0" builtinId="0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rgb="FF00206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789E4E-1D7E-41A9-8F0C-A686DFC3EF14}" name="Tabela3" displayName="Tabela3" ref="G9:J25" totalsRowShown="0" headerRowDxfId="88" dataDxfId="86" headerRowBorderDxfId="87" tableBorderDxfId="85">
  <autoFilter ref="G9:J25" xr:uid="{90789E4E-1D7E-41A9-8F0C-A686DFC3EF14}"/>
  <tableColumns count="4">
    <tableColumn id="1" xr3:uid="{33D15C95-F5AD-4A43-8A69-BCD7A39C1666}" name="Municipio" dataDxfId="84"/>
    <tableColumn id="2" xr3:uid="{6EC35611-6900-48CA-B5FB-F19A6F61F664}" name="Liderança" dataDxfId="83"/>
    <tableColumn id="4" xr3:uid="{24537C5E-B4C4-4574-96F6-2933FCBED55B}" name="Contato" dataDxfId="82"/>
    <tableColumn id="3" xr3:uid="{A1A8C90E-38A1-4B3F-B365-9F241230AE27}" name="Valor" dataDxfId="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3B3579-C482-4CB8-A8A4-B4731255EF8A}" name="Tabela2" displayName="Tabela2" ref="E5:G14" totalsRowShown="0" headerRowDxfId="80" dataDxfId="78" headerRowBorderDxfId="79" tableBorderDxfId="77">
  <autoFilter ref="E5:G14" xr:uid="{CC3B3579-C482-4CB8-A8A4-B4731255EF8A}"/>
  <sortState xmlns:xlrd2="http://schemas.microsoft.com/office/spreadsheetml/2017/richdata2" ref="E6:G14">
    <sortCondition ref="E5:E14"/>
  </sortState>
  <tableColumns count="3">
    <tableColumn id="1" xr3:uid="{14EF75CC-D017-4600-9371-F00BF260EB0A}" name="Municipio" dataDxfId="76"/>
    <tableColumn id="2" xr3:uid="{C8FD298D-60EB-4439-B8E3-7027CA23E7DE}" name="Liderança" dataDxfId="75"/>
    <tableColumn id="3" xr3:uid="{EC1475D2-924D-4CCB-8543-52E9B4C58F90}" name="Valor" dataDxfId="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8ADDA-D671-4E83-AC1B-74EE8BC3E72B}" name="Tabela22" displayName="Tabela22" ref="E5:G7" totalsRowShown="0" headerRowDxfId="73" dataDxfId="71" headerRowBorderDxfId="72" tableBorderDxfId="70">
  <autoFilter ref="E5:G7" xr:uid="{E688ADDA-D671-4E83-AC1B-74EE8BC3E72B}"/>
  <sortState xmlns:xlrd2="http://schemas.microsoft.com/office/spreadsheetml/2017/richdata2" ref="E6:G7">
    <sortCondition ref="E5:E7"/>
  </sortState>
  <tableColumns count="3">
    <tableColumn id="1" xr3:uid="{DC6B23AD-8980-4052-9D0E-EADCAB85837E}" name="Municipio" dataDxfId="69"/>
    <tableColumn id="2" xr3:uid="{EA87B57F-2C35-4525-A6B8-FECAFC6CAE2C}" name="Liderança" dataDxfId="68"/>
    <tableColumn id="3" xr3:uid="{64F4456B-FABC-4D8A-96BB-35E2DA48F47D}" name="Valor" dataDxfId="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54779A-38AE-4183-B9BD-6CF8CA01358C}" name="Tabela35" displayName="Tabela35" ref="F9:I16" totalsRowShown="0" headerRowDxfId="66" dataDxfId="64" headerRowBorderDxfId="65" tableBorderDxfId="63">
  <autoFilter ref="F9:I16" xr:uid="{0E54779A-38AE-4183-B9BD-6CF8CA01358C}"/>
  <tableColumns count="4">
    <tableColumn id="1" xr3:uid="{7A26E85A-3A9A-4FC9-A542-335F025BD34D}" name="Municipio" dataDxfId="62"/>
    <tableColumn id="2" xr3:uid="{9759BC88-471E-4BD1-8EE2-90A1AE10B9B9}" name="Liderança" dataDxfId="61"/>
    <tableColumn id="4" xr3:uid="{A4818405-F39F-4138-B18A-FA7FB0AFC8A8}" name="Contato" dataDxfId="60"/>
    <tableColumn id="3" xr3:uid="{94488273-7E9C-4863-B2C2-C0819A82E1CB}" name="Valor" dataDxfId="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11E48E-14F8-4163-B174-D16268A5AA9D}" name="Tabela5" displayName="Tabela5" ref="B3:F14" totalsRowShown="0" headerRowDxfId="58" dataDxfId="56" headerRowBorderDxfId="57">
  <autoFilter ref="B3:F14" xr:uid="{AC11E48E-14F8-4163-B174-D16268A5AA9D}"/>
  <sortState xmlns:xlrd2="http://schemas.microsoft.com/office/spreadsheetml/2017/richdata2" ref="B4:F14">
    <sortCondition descending="1" ref="F3:F14"/>
  </sortState>
  <tableColumns count="5">
    <tableColumn id="1" xr3:uid="{6F4454C5-2DD9-4DD1-ABA7-384B81BE6612}" name="Municipio" dataDxfId="55"/>
    <tableColumn id="2" xr3:uid="{921181EB-3396-4437-9BF1-9D9C52465E49}" name="Liderança" dataDxfId="54"/>
    <tableColumn id="3" xr3:uid="{E1A16B39-C3AB-4BCF-BE14-EADB6CB0D6A5}" name="M²" dataDxfId="53"/>
    <tableColumn id="4" xr3:uid="{3A2868AB-3FEF-4489-BD5E-F25CCD6C45AE}" name="Valor Total" dataDxfId="52"/>
    <tableColumn id="6" xr3:uid="{B53D4B9E-2B8B-4D10-BA05-5A4B7F35487A}" name="Status" dataDxfId="5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034450-5144-4F1E-9FE2-1413E255ED17}" name="Tabela8" displayName="Tabela8" ref="B19:F36" totalsRowShown="0" headerRowDxfId="50" headerRowBorderDxfId="49" tableBorderDxfId="48">
  <autoFilter ref="B19:F36" xr:uid="{CF034450-5144-4F1E-9FE2-1413E255ED17}"/>
  <tableColumns count="5">
    <tableColumn id="1" xr3:uid="{287A4D3A-415A-426B-ACF2-DAC34E702714}" name="Municipio" dataDxfId="47"/>
    <tableColumn id="2" xr3:uid="{F19882E3-5BA7-4A52-8E9C-AEDD2930A79B}" name="Liderança" dataDxfId="46"/>
    <tableColumn id="3" xr3:uid="{84D48841-96DF-457D-AB22-783038E8EAF0}" name="M²" dataDxfId="45"/>
    <tableColumn id="4" xr3:uid="{089966A1-23E7-4629-9682-06033039845D}" name="Valor Total" dataDxfId="44"/>
    <tableColumn id="5" xr3:uid="{FF6F6771-0891-434C-AC5F-410E68E509F8}" name="Status" dataDxfId="4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80E5D4-D77F-49DE-B1B0-93FB36645BA5}" name="Tabela9" displayName="Tabela9" ref="B42:F48" totalsRowShown="0" headerRowDxfId="42" headerRowBorderDxfId="41" tableBorderDxfId="40" totalsRowBorderDxfId="39">
  <autoFilter ref="B42:F48" xr:uid="{7980E5D4-D77F-49DE-B1B0-93FB36645BA5}"/>
  <tableColumns count="5">
    <tableColumn id="1" xr3:uid="{D4371664-4FD8-4E2F-B495-4D055EC9A095}" name="Municipio" dataDxfId="38"/>
    <tableColumn id="2" xr3:uid="{F77E9DDD-3552-44E8-B4AA-DD69D0165BEB}" name="Liderança" dataDxfId="37"/>
    <tableColumn id="3" xr3:uid="{13C9B95C-626A-4F0A-9F5E-568EB7DF1A24}" name="M²" dataDxfId="36"/>
    <tableColumn id="4" xr3:uid="{713F2AAD-97CD-46A7-A4BB-36128EFAE1FC}" name="Valor Total" dataDxfId="35"/>
    <tableColumn id="5" xr3:uid="{35DE1BAA-FDCD-40A0-91D1-BB5FDC95C65A}" name="Status" dataDxfId="34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FE8B97-005C-44C8-9AA1-4AED6121F13F}" name="Tabela57" displayName="Tabela57" ref="F3:J23" totalsRowCount="1" headerRowDxfId="33" dataDxfId="31" totalsRowDxfId="30" headerRowBorderDxfId="32">
  <autoFilter ref="F3:J22" xr:uid="{5CFE8B97-005C-44C8-9AA1-4AED6121F13F}"/>
  <sortState xmlns:xlrd2="http://schemas.microsoft.com/office/spreadsheetml/2017/richdata2" ref="F4:J21">
    <sortCondition ref="F3:F21"/>
  </sortState>
  <tableColumns count="5">
    <tableColumn id="1" xr3:uid="{AC9067F6-D07E-4C85-AFE6-738C80849384}" name="Municipio" dataDxfId="29" totalsRowDxfId="28"/>
    <tableColumn id="2" xr3:uid="{F09FE902-26AD-49AE-9D6F-0E358F2BA405}" name="Liderança" dataDxfId="27" totalsRowDxfId="26"/>
    <tableColumn id="10" xr3:uid="{ECD80D9A-9B7F-44B0-A3E6-9E25EE4E2DFD}" name="Obra" dataDxfId="25" totalsRowDxfId="24"/>
    <tableColumn id="9" xr3:uid="{F79FF722-2CAD-42C5-87C2-DA6C5BFA4C81}" name="SEI" totalsRowLabel="Total" dataDxfId="23" totalsRowDxfId="22"/>
    <tableColumn id="4" xr3:uid="{19CB6554-A463-40FD-903C-0064F9AF6170}" name="Valor Total" totalsRowFunction="sum" dataDxfId="21" totalsRowDxfId="2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439B118-2601-4A98-B507-1EDD6C485C24}" name="Tabela12" displayName="Tabela12" ref="D12:J57" totalsRowShown="0" headerRowDxfId="19" dataDxfId="17" headerRowBorderDxfId="18">
  <tableColumns count="7">
    <tableColumn id="1" xr3:uid="{B5C51B29-2326-4EEE-A44F-FDE987377FA2}" name="Etapa" dataDxfId="16"/>
    <tableColumn id="2" xr3:uid="{3C2174B3-8B5B-4984-88E4-58439ED0DC88}" name="Municipio" dataDxfId="15"/>
    <tableColumn id="3" xr3:uid="{72927AF9-1F20-4F9F-8D51-535178F6C9CA}" name="Liderança" dataDxfId="14"/>
    <tableColumn id="4" xr3:uid="{BC33FD54-3A11-4835-80A4-32A3641E4E7F}" name="Obra" dataDxfId="13"/>
    <tableColumn id="5" xr3:uid="{E4DFA847-83E7-46F3-801E-DB592A7BE9BC}" name="SEI" dataDxfId="12"/>
    <tableColumn id="7" xr3:uid="{EBFD4464-5BF9-480B-9BF8-8B5E43541AAD}" name="STATUS" dataDxfId="11"/>
    <tableColumn id="6" xr3:uid="{8D38D599-38DD-4D32-9724-2C43FCDAADBF}" name="Valor Total" dataDxfId="1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FCEEDB-F672-4E35-972B-B7EC43CAB80B}" name="Tabela128" displayName="Tabela128" ref="D10:J55" totalsRowShown="0" headerRowDxfId="9" dataDxfId="7" headerRowBorderDxfId="8">
  <tableColumns count="7">
    <tableColumn id="1" xr3:uid="{91F7F7C5-5D8B-4975-A774-8CD5482C27D7}" name="Etapa" dataDxfId="6"/>
    <tableColumn id="2" xr3:uid="{C4669337-220D-47CF-86BE-94CF35156F36}" name="Municipio" dataDxfId="5"/>
    <tableColumn id="3" xr3:uid="{12074DB4-1E3A-4D7F-AC95-17DECBB3F078}" name="Liderança" dataDxfId="4"/>
    <tableColumn id="4" xr3:uid="{4B35E79F-A4F9-4E56-AA09-007FBAFC106B}" name="Obra" dataDxfId="3"/>
    <tableColumn id="5" xr3:uid="{066A7509-7733-45AD-A41A-07D8DA1103DA}" name="SEI" dataDxfId="2"/>
    <tableColumn id="7" xr3:uid="{ED811808-A6A6-4723-9BBD-CC62AD9409C1}" name="STATUS" dataDxfId="1"/>
    <tableColumn id="6" xr3:uid="{75E0B94B-0AC2-40F6-B619-BC944C8EC274}" name="Valor 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AE92-33ED-486F-A44E-29E298414AF4}">
  <sheetPr>
    <pageSetUpPr fitToPage="1"/>
  </sheetPr>
  <dimension ref="C2:H47"/>
  <sheetViews>
    <sheetView showGridLines="0" topLeftCell="A2" workbookViewId="0">
      <selection activeCell="H7" sqref="H7"/>
    </sheetView>
  </sheetViews>
  <sheetFormatPr defaultRowHeight="17.399999999999999" x14ac:dyDescent="0.35"/>
  <cols>
    <col min="1" max="1" width="8.88671875" style="1"/>
    <col min="2" max="2" width="4.33203125" style="1" customWidth="1"/>
    <col min="3" max="3" width="19.5546875" style="1" customWidth="1"/>
    <col min="4" max="4" width="70.109375" style="1" bestFit="1" customWidth="1"/>
    <col min="5" max="5" width="21" style="2" customWidth="1"/>
    <col min="6" max="6" width="4.33203125" style="1" customWidth="1"/>
    <col min="7" max="16384" width="8.88671875" style="1"/>
  </cols>
  <sheetData>
    <row r="2" spans="3:5" ht="18" thickBot="1" x14ac:dyDescent="0.4"/>
    <row r="3" spans="3:5" ht="18.600000000000001" thickBot="1" x14ac:dyDescent="0.4">
      <c r="D3" s="15" t="s">
        <v>0</v>
      </c>
    </row>
    <row r="4" spans="3:5" ht="9" customHeight="1" thickBot="1" x14ac:dyDescent="0.4"/>
    <row r="5" spans="3:5" ht="19.2" customHeight="1" thickBot="1" x14ac:dyDescent="0.4">
      <c r="D5" s="26" t="s">
        <v>46</v>
      </c>
    </row>
    <row r="6" spans="3:5" ht="7.2" customHeight="1" thickBot="1" x14ac:dyDescent="0.4"/>
    <row r="7" spans="3:5" ht="18.600000000000001" thickBot="1" x14ac:dyDescent="0.4">
      <c r="C7" s="18" t="s">
        <v>1</v>
      </c>
      <c r="D7" s="19" t="s">
        <v>2</v>
      </c>
      <c r="E7" s="20" t="s">
        <v>3</v>
      </c>
    </row>
    <row r="8" spans="3:5" x14ac:dyDescent="0.35">
      <c r="C8" s="12" t="s">
        <v>32</v>
      </c>
      <c r="D8" s="13" t="s">
        <v>33</v>
      </c>
      <c r="E8" s="14">
        <v>1000000</v>
      </c>
    </row>
    <row r="9" spans="3:5" x14ac:dyDescent="0.35">
      <c r="C9" s="7" t="s">
        <v>15</v>
      </c>
      <c r="D9" s="21" t="s">
        <v>16</v>
      </c>
      <c r="E9" s="8">
        <v>3000000</v>
      </c>
    </row>
    <row r="10" spans="3:5" x14ac:dyDescent="0.35">
      <c r="C10" s="7" t="s">
        <v>17</v>
      </c>
      <c r="D10" s="21" t="s">
        <v>18</v>
      </c>
      <c r="E10" s="8">
        <v>3000000</v>
      </c>
    </row>
    <row r="11" spans="3:5" x14ac:dyDescent="0.35">
      <c r="C11" s="7" t="s">
        <v>11</v>
      </c>
      <c r="D11" s="21" t="s">
        <v>12</v>
      </c>
      <c r="E11" s="8">
        <v>2000000</v>
      </c>
    </row>
    <row r="12" spans="3:5" x14ac:dyDescent="0.35">
      <c r="C12" s="7" t="s">
        <v>23</v>
      </c>
      <c r="D12" s="21" t="s">
        <v>24</v>
      </c>
      <c r="E12" s="8">
        <v>3000000</v>
      </c>
    </row>
    <row r="13" spans="3:5" x14ac:dyDescent="0.35">
      <c r="C13" s="7" t="s">
        <v>21</v>
      </c>
      <c r="D13" s="21" t="s">
        <v>22</v>
      </c>
      <c r="E13" s="8">
        <v>2500000</v>
      </c>
    </row>
    <row r="14" spans="3:5" ht="34.799999999999997" x14ac:dyDescent="0.35">
      <c r="C14" s="5" t="s">
        <v>6</v>
      </c>
      <c r="D14" s="22" t="s">
        <v>7</v>
      </c>
      <c r="E14" s="6">
        <v>3000000</v>
      </c>
    </row>
    <row r="15" spans="3:5" ht="34.799999999999997" x14ac:dyDescent="0.35">
      <c r="C15" s="5" t="s">
        <v>13</v>
      </c>
      <c r="D15" s="22" t="s">
        <v>14</v>
      </c>
      <c r="E15" s="6">
        <v>2000000</v>
      </c>
    </row>
    <row r="16" spans="3:5" x14ac:dyDescent="0.35">
      <c r="C16" s="24" t="s">
        <v>35</v>
      </c>
      <c r="D16" s="1" t="s">
        <v>40</v>
      </c>
      <c r="E16" s="23">
        <v>1000000</v>
      </c>
    </row>
    <row r="17" spans="3:5" x14ac:dyDescent="0.35">
      <c r="C17" s="5" t="s">
        <v>19</v>
      </c>
      <c r="D17" s="22" t="s">
        <v>20</v>
      </c>
      <c r="E17" s="6">
        <v>1500000</v>
      </c>
    </row>
    <row r="18" spans="3:5" x14ac:dyDescent="0.35">
      <c r="C18" s="24" t="s">
        <v>36</v>
      </c>
      <c r="D18" s="1" t="s">
        <v>39</v>
      </c>
      <c r="E18" s="23">
        <v>2500000</v>
      </c>
    </row>
    <row r="19" spans="3:5" x14ac:dyDescent="0.35">
      <c r="C19" s="24" t="s">
        <v>37</v>
      </c>
      <c r="D19" s="1" t="s">
        <v>38</v>
      </c>
      <c r="E19" s="23">
        <v>2000000</v>
      </c>
    </row>
    <row r="20" spans="3:5" x14ac:dyDescent="0.35">
      <c r="C20" s="5" t="s">
        <v>4</v>
      </c>
      <c r="D20" s="4" t="s">
        <v>5</v>
      </c>
      <c r="E20" s="6">
        <v>10000000</v>
      </c>
    </row>
    <row r="21" spans="3:5" x14ac:dyDescent="0.35">
      <c r="C21" s="5" t="s">
        <v>30</v>
      </c>
      <c r="D21" s="4" t="s">
        <v>31</v>
      </c>
      <c r="E21" s="6">
        <v>1500000</v>
      </c>
    </row>
    <row r="22" spans="3:5" ht="18" thickBot="1" x14ac:dyDescent="0.4">
      <c r="C22" s="25" t="s">
        <v>41</v>
      </c>
      <c r="D22" s="10" t="s">
        <v>42</v>
      </c>
      <c r="E22" s="11">
        <v>2000000</v>
      </c>
    </row>
    <row r="23" spans="3:5" x14ac:dyDescent="0.35">
      <c r="E23" s="3">
        <f>SUM(E8:E22)</f>
        <v>40000000</v>
      </c>
    </row>
    <row r="36" spans="3:8" x14ac:dyDescent="0.35">
      <c r="C36" s="16" t="s">
        <v>8</v>
      </c>
      <c r="D36" s="4" t="s">
        <v>9</v>
      </c>
      <c r="E36" s="6">
        <v>2000000</v>
      </c>
    </row>
    <row r="37" spans="3:8" x14ac:dyDescent="0.35">
      <c r="C37" s="16" t="s">
        <v>25</v>
      </c>
      <c r="D37" s="4" t="s">
        <v>26</v>
      </c>
      <c r="E37" s="6">
        <v>3000000</v>
      </c>
    </row>
    <row r="38" spans="3:8" x14ac:dyDescent="0.35">
      <c r="C38" s="16" t="s">
        <v>27</v>
      </c>
      <c r="D38" s="4" t="s">
        <v>28</v>
      </c>
      <c r="E38" s="6">
        <v>1500000</v>
      </c>
    </row>
    <row r="39" spans="3:8" ht="18" thickBot="1" x14ac:dyDescent="0.4">
      <c r="C39" s="17" t="s">
        <v>10</v>
      </c>
      <c r="D39" s="10" t="s">
        <v>29</v>
      </c>
      <c r="E39" s="11">
        <v>2000000</v>
      </c>
    </row>
    <row r="40" spans="3:8" x14ac:dyDescent="0.35">
      <c r="H40" s="1" t="s">
        <v>43</v>
      </c>
    </row>
    <row r="41" spans="3:8" x14ac:dyDescent="0.35">
      <c r="H41" s="1" t="s">
        <v>44</v>
      </c>
    </row>
    <row r="42" spans="3:8" x14ac:dyDescent="0.35">
      <c r="H42" s="1" t="s">
        <v>45</v>
      </c>
    </row>
    <row r="47" spans="3:8" x14ac:dyDescent="0.35">
      <c r="D47" s="1" t="s">
        <v>34</v>
      </c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C2FA-D743-49DC-810F-C85259D5544F}">
  <sheetPr>
    <pageSetUpPr fitToPage="1"/>
  </sheetPr>
  <dimension ref="G3:J33"/>
  <sheetViews>
    <sheetView showGridLines="0" topLeftCell="E16" workbookViewId="0">
      <selection activeCell="G30" sqref="G30:G32"/>
    </sheetView>
  </sheetViews>
  <sheetFormatPr defaultRowHeight="18" customHeight="1" x14ac:dyDescent="0.35"/>
  <cols>
    <col min="1" max="2" width="8.88671875" style="41"/>
    <col min="3" max="3" width="0" style="41" hidden="1" customWidth="1"/>
    <col min="4" max="5" width="8.88671875" style="41"/>
    <col min="6" max="6" width="5.6640625" style="41" customWidth="1"/>
    <col min="7" max="7" width="23.5546875" style="41" customWidth="1"/>
    <col min="8" max="8" width="71.88671875" style="41" customWidth="1"/>
    <col min="9" max="9" width="30.33203125" style="42" customWidth="1"/>
    <col min="10" max="10" width="22.6640625" style="41" bestFit="1" customWidth="1"/>
    <col min="11" max="11" width="4.44140625" style="41" customWidth="1"/>
    <col min="12" max="16384" width="8.88671875" style="41"/>
  </cols>
  <sheetData>
    <row r="3" spans="7:10" ht="6.6" customHeight="1" x14ac:dyDescent="0.35"/>
    <row r="4" spans="7:10" ht="7.8" customHeight="1" x14ac:dyDescent="0.35"/>
    <row r="5" spans="7:10" ht="12.6" customHeight="1" x14ac:dyDescent="0.35"/>
    <row r="6" spans="7:10" ht="12.6" customHeight="1" thickBot="1" x14ac:dyDescent="0.4"/>
    <row r="7" spans="7:10" ht="15" customHeight="1" thickBot="1" x14ac:dyDescent="0.4">
      <c r="H7" s="238" t="s">
        <v>66</v>
      </c>
      <c r="I7" s="239"/>
    </row>
    <row r="8" spans="7:10" ht="6" customHeight="1" thickBot="1" x14ac:dyDescent="0.4"/>
    <row r="9" spans="7:10" ht="15" customHeight="1" thickBot="1" x14ac:dyDescent="0.4">
      <c r="G9" s="43" t="s">
        <v>1</v>
      </c>
      <c r="H9" s="43" t="s">
        <v>2</v>
      </c>
      <c r="I9" s="43" t="s">
        <v>51</v>
      </c>
      <c r="J9" s="44" t="s">
        <v>3</v>
      </c>
    </row>
    <row r="10" spans="7:10" ht="15" customHeight="1" x14ac:dyDescent="0.35">
      <c r="G10" s="63" t="s">
        <v>11</v>
      </c>
      <c r="H10" s="45" t="s">
        <v>12</v>
      </c>
      <c r="I10" s="46" t="s">
        <v>54</v>
      </c>
      <c r="J10" s="64">
        <v>1315000</v>
      </c>
    </row>
    <row r="11" spans="7:10" ht="15" customHeight="1" x14ac:dyDescent="0.35">
      <c r="G11" s="63" t="s">
        <v>23</v>
      </c>
      <c r="H11" s="45" t="s">
        <v>24</v>
      </c>
      <c r="I11" s="46" t="s">
        <v>55</v>
      </c>
      <c r="J11" s="64">
        <v>2000000</v>
      </c>
    </row>
    <row r="12" spans="7:10" ht="15" customHeight="1" x14ac:dyDescent="0.35">
      <c r="G12" s="45" t="s">
        <v>25</v>
      </c>
      <c r="H12" s="45" t="s">
        <v>60</v>
      </c>
      <c r="I12" s="46" t="s">
        <v>61</v>
      </c>
      <c r="J12" s="47">
        <v>2000000</v>
      </c>
    </row>
    <row r="13" spans="7:10" ht="15" customHeight="1" x14ac:dyDescent="0.35">
      <c r="G13" s="45" t="s">
        <v>4</v>
      </c>
      <c r="H13" s="45" t="s">
        <v>5</v>
      </c>
      <c r="I13" s="46" t="s">
        <v>57</v>
      </c>
      <c r="J13" s="47">
        <v>10000000</v>
      </c>
    </row>
    <row r="14" spans="7:10" ht="15" customHeight="1" x14ac:dyDescent="0.35">
      <c r="G14" s="63" t="s">
        <v>67</v>
      </c>
      <c r="H14" s="45" t="s">
        <v>77</v>
      </c>
      <c r="I14" s="46" t="s">
        <v>74</v>
      </c>
      <c r="J14" s="64">
        <v>3000000</v>
      </c>
    </row>
    <row r="15" spans="7:10" ht="15" customHeight="1" x14ac:dyDescent="0.35">
      <c r="G15" s="63" t="s">
        <v>19</v>
      </c>
      <c r="H15" s="48" t="s">
        <v>20</v>
      </c>
      <c r="I15" s="46" t="s">
        <v>72</v>
      </c>
      <c r="J15" s="64">
        <v>1500000</v>
      </c>
    </row>
    <row r="16" spans="7:10" ht="15" customHeight="1" x14ac:dyDescent="0.35">
      <c r="G16" s="63" t="s">
        <v>30</v>
      </c>
      <c r="H16" s="45" t="s">
        <v>31</v>
      </c>
      <c r="I16" s="46" t="s">
        <v>73</v>
      </c>
      <c r="J16" s="64">
        <v>1000000</v>
      </c>
    </row>
    <row r="17" spans="7:10" ht="34.200000000000003" customHeight="1" x14ac:dyDescent="0.35">
      <c r="G17" s="63" t="s">
        <v>13</v>
      </c>
      <c r="H17" s="48" t="s">
        <v>76</v>
      </c>
      <c r="I17" s="46" t="s">
        <v>70</v>
      </c>
      <c r="J17" s="64">
        <v>1300000</v>
      </c>
    </row>
    <row r="18" spans="7:10" ht="15" customHeight="1" x14ac:dyDescent="0.35">
      <c r="G18" s="45" t="s">
        <v>63</v>
      </c>
      <c r="H18" s="45" t="s">
        <v>64</v>
      </c>
      <c r="I18" s="46" t="s">
        <v>71</v>
      </c>
      <c r="J18" s="49">
        <v>1000000</v>
      </c>
    </row>
    <row r="19" spans="7:10" ht="15" customHeight="1" x14ac:dyDescent="0.35">
      <c r="G19" s="45" t="s">
        <v>41</v>
      </c>
      <c r="H19" s="45" t="s">
        <v>58</v>
      </c>
      <c r="I19" s="46" t="s">
        <v>59</v>
      </c>
      <c r="J19" s="47">
        <v>1000000</v>
      </c>
    </row>
    <row r="20" spans="7:10" ht="15" customHeight="1" x14ac:dyDescent="0.35">
      <c r="G20" s="41" t="s">
        <v>36</v>
      </c>
      <c r="H20" s="41" t="s">
        <v>39</v>
      </c>
      <c r="I20" s="46" t="s">
        <v>75</v>
      </c>
      <c r="J20" s="49">
        <v>1000000</v>
      </c>
    </row>
    <row r="21" spans="7:10" ht="15" customHeight="1" x14ac:dyDescent="0.35">
      <c r="G21" s="45" t="s">
        <v>79</v>
      </c>
      <c r="H21" s="45" t="s">
        <v>80</v>
      </c>
      <c r="I21" s="46"/>
      <c r="J21" s="47"/>
    </row>
    <row r="22" spans="7:10" ht="15" customHeight="1" x14ac:dyDescent="0.35">
      <c r="G22" s="58" t="s">
        <v>6</v>
      </c>
      <c r="H22" s="45" t="s">
        <v>7</v>
      </c>
      <c r="I22" s="59"/>
      <c r="J22" s="47">
        <v>1000000</v>
      </c>
    </row>
    <row r="23" spans="7:10" ht="15" customHeight="1" x14ac:dyDescent="0.35">
      <c r="G23" s="58" t="s">
        <v>37</v>
      </c>
      <c r="H23" s="45" t="s">
        <v>62</v>
      </c>
      <c r="I23" s="59"/>
      <c r="J23" s="47">
        <v>1000000</v>
      </c>
    </row>
    <row r="24" spans="7:10" ht="15" customHeight="1" x14ac:dyDescent="0.35">
      <c r="G24" s="58" t="s">
        <v>78</v>
      </c>
      <c r="H24" s="45"/>
      <c r="I24" s="59"/>
      <c r="J24" s="47">
        <v>2000000</v>
      </c>
    </row>
    <row r="25" spans="7:10" ht="16.8" customHeight="1" x14ac:dyDescent="0.35">
      <c r="G25" s="45"/>
      <c r="H25" s="50"/>
      <c r="I25" s="50" t="s">
        <v>50</v>
      </c>
      <c r="J25" s="51">
        <f>SUBTOTAL(109,J10:J24)</f>
        <v>29115000</v>
      </c>
    </row>
    <row r="26" spans="7:10" ht="12.6" customHeight="1" x14ac:dyDescent="0.35"/>
    <row r="27" spans="7:10" ht="18" customHeight="1" thickBot="1" x14ac:dyDescent="0.4"/>
    <row r="28" spans="7:10" ht="18" customHeight="1" thickBot="1" x14ac:dyDescent="0.4">
      <c r="H28" s="238" t="s">
        <v>65</v>
      </c>
      <c r="I28" s="239"/>
    </row>
    <row r="29" spans="7:10" ht="18" customHeight="1" thickBot="1" x14ac:dyDescent="0.4">
      <c r="G29" s="52" t="s">
        <v>1</v>
      </c>
      <c r="H29" s="52" t="s">
        <v>2</v>
      </c>
      <c r="I29" s="52" t="s">
        <v>51</v>
      </c>
      <c r="J29" s="53" t="s">
        <v>3</v>
      </c>
    </row>
    <row r="30" spans="7:10" ht="18" customHeight="1" x14ac:dyDescent="0.35">
      <c r="G30" s="54" t="s">
        <v>21</v>
      </c>
      <c r="H30" s="55" t="s">
        <v>22</v>
      </c>
      <c r="I30" s="56" t="s">
        <v>56</v>
      </c>
      <c r="J30" s="57">
        <v>2171705.33</v>
      </c>
    </row>
    <row r="31" spans="7:10" ht="18" customHeight="1" x14ac:dyDescent="0.35">
      <c r="G31" s="54" t="s">
        <v>15</v>
      </c>
      <c r="H31" s="55" t="s">
        <v>16</v>
      </c>
      <c r="I31" s="56" t="s">
        <v>52</v>
      </c>
      <c r="J31" s="57">
        <v>2200000</v>
      </c>
    </row>
    <row r="32" spans="7:10" ht="18" customHeight="1" x14ac:dyDescent="0.35">
      <c r="G32" s="54" t="s">
        <v>17</v>
      </c>
      <c r="H32" s="55" t="s">
        <v>18</v>
      </c>
      <c r="I32" s="56" t="s">
        <v>53</v>
      </c>
      <c r="J32" s="57">
        <v>1820892.36</v>
      </c>
    </row>
    <row r="33" spans="7:10" ht="18" customHeight="1" x14ac:dyDescent="0.35">
      <c r="G33" s="60"/>
      <c r="H33" s="61"/>
      <c r="I33" s="61" t="s">
        <v>50</v>
      </c>
      <c r="J33" s="62">
        <f>SUBTOTAL(109,J30:J32)</f>
        <v>6192597.6900000004</v>
      </c>
    </row>
  </sheetData>
  <mergeCells count="2">
    <mergeCell ref="H7:I7"/>
    <mergeCell ref="H28:I28"/>
  </mergeCells>
  <pageMargins left="0.511811024" right="0.511811024" top="0.78740157499999996" bottom="0.78740157499999996" header="0.31496062000000002" footer="0.31496062000000002"/>
  <pageSetup paperSize="9" scale="91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DE3D-0664-4DFA-8517-B6B8347DF9FC}">
  <sheetPr>
    <pageSetUpPr fitToPage="1"/>
  </sheetPr>
  <dimension ref="E2:G15"/>
  <sheetViews>
    <sheetView showGridLines="0" workbookViewId="0">
      <selection activeCell="E6" sqref="E6:E13"/>
    </sheetView>
  </sheetViews>
  <sheetFormatPr defaultRowHeight="18" customHeight="1" x14ac:dyDescent="0.3"/>
  <cols>
    <col min="1" max="3" width="8.88671875" style="29"/>
    <col min="4" max="4" width="3.88671875" style="29" customWidth="1"/>
    <col min="5" max="5" width="20.109375" style="29" customWidth="1"/>
    <col min="6" max="6" width="78.77734375" style="29" customWidth="1"/>
    <col min="7" max="7" width="20.109375" style="29" bestFit="1" customWidth="1"/>
    <col min="8" max="8" width="4.33203125" style="29" bestFit="1" customWidth="1"/>
    <col min="9" max="16384" width="8.88671875" style="29"/>
  </cols>
  <sheetData>
    <row r="2" spans="5:7" ht="12.6" customHeight="1" thickBot="1" x14ac:dyDescent="0.35"/>
    <row r="3" spans="5:7" ht="15" customHeight="1" thickBot="1" x14ac:dyDescent="0.35">
      <c r="F3" s="35" t="s">
        <v>49</v>
      </c>
    </row>
    <row r="4" spans="5:7" ht="6" customHeight="1" thickBot="1" x14ac:dyDescent="0.35"/>
    <row r="5" spans="5:7" ht="15" customHeight="1" thickBot="1" x14ac:dyDescent="0.35">
      <c r="E5" s="36" t="s">
        <v>1</v>
      </c>
      <c r="F5" s="36" t="s">
        <v>2</v>
      </c>
      <c r="G5" s="37" t="s">
        <v>3</v>
      </c>
    </row>
    <row r="6" spans="5:7" ht="15" customHeight="1" x14ac:dyDescent="0.3">
      <c r="E6" s="30" t="s">
        <v>6</v>
      </c>
      <c r="F6" s="32" t="s">
        <v>7</v>
      </c>
      <c r="G6" s="33">
        <v>1000000</v>
      </c>
    </row>
    <row r="7" spans="5:7" ht="15" customHeight="1" x14ac:dyDescent="0.3">
      <c r="E7" s="30" t="s">
        <v>13</v>
      </c>
      <c r="F7" s="32" t="s">
        <v>14</v>
      </c>
      <c r="G7" s="33">
        <v>1000000</v>
      </c>
    </row>
    <row r="8" spans="5:7" ht="15" customHeight="1" x14ac:dyDescent="0.3">
      <c r="E8" s="30" t="s">
        <v>63</v>
      </c>
      <c r="F8" s="30" t="s">
        <v>64</v>
      </c>
      <c r="G8" s="31">
        <v>1000000</v>
      </c>
    </row>
    <row r="9" spans="5:7" ht="15" customHeight="1" x14ac:dyDescent="0.3">
      <c r="E9" s="30" t="s">
        <v>19</v>
      </c>
      <c r="F9" s="32" t="s">
        <v>20</v>
      </c>
      <c r="G9" s="33">
        <v>1500000</v>
      </c>
    </row>
    <row r="10" spans="5:7" ht="17.399999999999999" customHeight="1" x14ac:dyDescent="0.3">
      <c r="E10" s="30" t="s">
        <v>37</v>
      </c>
      <c r="F10" s="30" t="s">
        <v>62</v>
      </c>
      <c r="G10" s="33">
        <v>1000000</v>
      </c>
    </row>
    <row r="11" spans="5:7" ht="15" customHeight="1" x14ac:dyDescent="0.3">
      <c r="E11" s="29" t="s">
        <v>36</v>
      </c>
      <c r="F11" s="29" t="s">
        <v>39</v>
      </c>
      <c r="G11" s="31">
        <v>1000000</v>
      </c>
    </row>
    <row r="12" spans="5:7" ht="15" customHeight="1" x14ac:dyDescent="0.3">
      <c r="E12" s="30" t="s">
        <v>30</v>
      </c>
      <c r="F12" s="30" t="s">
        <v>31</v>
      </c>
      <c r="G12" s="33">
        <v>1000000</v>
      </c>
    </row>
    <row r="13" spans="5:7" ht="15" customHeight="1" x14ac:dyDescent="0.3">
      <c r="E13" s="30" t="s">
        <v>41</v>
      </c>
      <c r="F13" s="30" t="s">
        <v>58</v>
      </c>
      <c r="G13" s="33">
        <v>1000000</v>
      </c>
    </row>
    <row r="14" spans="5:7" ht="16.2" customHeight="1" x14ac:dyDescent="0.3">
      <c r="E14" s="30"/>
      <c r="F14" s="39" t="s">
        <v>50</v>
      </c>
      <c r="G14" s="40">
        <f>SUBTOTAL(109,G6:G13)</f>
        <v>8500000</v>
      </c>
    </row>
    <row r="15" spans="5:7" ht="18" customHeight="1" x14ac:dyDescent="0.3">
      <c r="F15" s="38"/>
      <c r="G15" s="34"/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85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9130-C52F-431F-98A4-4BD86222D3CE}">
  <dimension ref="E2:G8"/>
  <sheetViews>
    <sheetView showGridLines="0" workbookViewId="0">
      <selection activeCell="F11" sqref="F11"/>
    </sheetView>
  </sheetViews>
  <sheetFormatPr defaultRowHeight="18" customHeight="1" x14ac:dyDescent="0.3"/>
  <cols>
    <col min="1" max="3" width="8.88671875" style="29"/>
    <col min="4" max="4" width="3.88671875" style="29" customWidth="1"/>
    <col min="5" max="5" width="20.109375" style="29" customWidth="1"/>
    <col min="6" max="6" width="53.6640625" style="29" customWidth="1"/>
    <col min="7" max="7" width="20.109375" style="29" bestFit="1" customWidth="1"/>
    <col min="8" max="8" width="4.33203125" style="29" bestFit="1" customWidth="1"/>
    <col min="9" max="16384" width="8.88671875" style="29"/>
  </cols>
  <sheetData>
    <row r="2" spans="5:7" ht="12.6" customHeight="1" thickBot="1" x14ac:dyDescent="0.35"/>
    <row r="3" spans="5:7" ht="15" customHeight="1" thickBot="1" x14ac:dyDescent="0.35">
      <c r="F3" s="35" t="s">
        <v>49</v>
      </c>
    </row>
    <row r="4" spans="5:7" ht="6" customHeight="1" thickBot="1" x14ac:dyDescent="0.35"/>
    <row r="5" spans="5:7" ht="15" customHeight="1" thickBot="1" x14ac:dyDescent="0.35">
      <c r="E5" s="36" t="s">
        <v>1</v>
      </c>
      <c r="F5" s="36" t="s">
        <v>2</v>
      </c>
      <c r="G5" s="37" t="s">
        <v>3</v>
      </c>
    </row>
    <row r="6" spans="5:7" ht="15" customHeight="1" x14ac:dyDescent="0.3">
      <c r="E6" s="30" t="s">
        <v>68</v>
      </c>
      <c r="F6" s="32" t="s">
        <v>69</v>
      </c>
      <c r="G6" s="33"/>
    </row>
    <row r="7" spans="5:7" ht="16.2" customHeight="1" x14ac:dyDescent="0.3">
      <c r="E7" s="30"/>
      <c r="F7" s="39" t="s">
        <v>50</v>
      </c>
      <c r="G7" s="40">
        <f>SUBTOTAL(109,G6:G6)</f>
        <v>0</v>
      </c>
    </row>
    <row r="8" spans="5:7" ht="18" customHeight="1" x14ac:dyDescent="0.3">
      <c r="F8" s="38"/>
      <c r="G8" s="3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E927-828B-4F0D-9E72-A92F37A005DA}">
  <sheetPr>
    <pageSetUpPr fitToPage="1"/>
  </sheetPr>
  <dimension ref="F2:I31"/>
  <sheetViews>
    <sheetView showGridLines="0" topLeftCell="A13" workbookViewId="0">
      <selection activeCell="F28" sqref="F28:F30"/>
    </sheetView>
  </sheetViews>
  <sheetFormatPr defaultRowHeight="18" x14ac:dyDescent="0.35"/>
  <cols>
    <col min="1" max="2" width="8.88671875" style="41"/>
    <col min="3" max="3" width="0" style="41" hidden="1" customWidth="1"/>
    <col min="4" max="4" width="8.88671875" style="41"/>
    <col min="5" max="5" width="4.77734375" style="41" customWidth="1"/>
    <col min="6" max="6" width="19" style="41" customWidth="1"/>
    <col min="7" max="7" width="71.44140625" style="41" customWidth="1"/>
    <col min="8" max="8" width="30.33203125" style="42" customWidth="1"/>
    <col min="9" max="9" width="22.6640625" style="41" bestFit="1" customWidth="1"/>
    <col min="10" max="10" width="4.77734375" style="41" customWidth="1"/>
    <col min="11" max="16384" width="8.88671875" style="41"/>
  </cols>
  <sheetData>
    <row r="2" spans="6:9" ht="18" customHeight="1" x14ac:dyDescent="0.35"/>
    <row r="3" spans="6:9" ht="6.6" customHeight="1" x14ac:dyDescent="0.35"/>
    <row r="4" spans="6:9" ht="7.8" customHeight="1" x14ac:dyDescent="0.35"/>
    <row r="5" spans="6:9" ht="12.6" customHeight="1" x14ac:dyDescent="0.35"/>
    <row r="6" spans="6:9" ht="12.6" customHeight="1" thickBot="1" x14ac:dyDescent="0.4"/>
    <row r="7" spans="6:9" ht="15" customHeight="1" thickBot="1" x14ac:dyDescent="0.4">
      <c r="G7" s="238" t="s">
        <v>66</v>
      </c>
      <c r="H7" s="239"/>
    </row>
    <row r="8" spans="6:9" ht="6" customHeight="1" thickBot="1" x14ac:dyDescent="0.4"/>
    <row r="9" spans="6:9" ht="15" customHeight="1" thickBot="1" x14ac:dyDescent="0.4">
      <c r="F9" s="43" t="s">
        <v>1</v>
      </c>
      <c r="G9" s="43" t="s">
        <v>2</v>
      </c>
      <c r="H9" s="43" t="s">
        <v>51</v>
      </c>
      <c r="I9" s="44" t="s">
        <v>3</v>
      </c>
    </row>
    <row r="10" spans="6:9" ht="15" customHeight="1" x14ac:dyDescent="0.35">
      <c r="F10" s="45" t="s">
        <v>11</v>
      </c>
      <c r="G10" s="45" t="s">
        <v>12</v>
      </c>
      <c r="H10" s="46" t="s">
        <v>54</v>
      </c>
      <c r="I10" s="47">
        <v>1315000</v>
      </c>
    </row>
    <row r="11" spans="6:9" ht="15" customHeight="1" x14ac:dyDescent="0.35">
      <c r="F11" s="45" t="s">
        <v>23</v>
      </c>
      <c r="G11" s="45" t="s">
        <v>24</v>
      </c>
      <c r="H11" s="46" t="s">
        <v>55</v>
      </c>
      <c r="I11" s="47">
        <v>2000000</v>
      </c>
    </row>
    <row r="12" spans="6:9" ht="15" customHeight="1" x14ac:dyDescent="0.35">
      <c r="F12" s="45" t="s">
        <v>67</v>
      </c>
      <c r="G12" s="45" t="s">
        <v>77</v>
      </c>
      <c r="H12" s="46" t="s">
        <v>74</v>
      </c>
      <c r="I12" s="47">
        <v>3000000</v>
      </c>
    </row>
    <row r="13" spans="6:9" ht="15" customHeight="1" x14ac:dyDescent="0.35">
      <c r="F13" s="45" t="s">
        <v>19</v>
      </c>
      <c r="G13" s="48" t="s">
        <v>20</v>
      </c>
      <c r="H13" s="46" t="s">
        <v>72</v>
      </c>
      <c r="I13" s="47">
        <v>1500000</v>
      </c>
    </row>
    <row r="14" spans="6:9" ht="15" customHeight="1" x14ac:dyDescent="0.35">
      <c r="F14" s="45" t="s">
        <v>30</v>
      </c>
      <c r="G14" s="45" t="s">
        <v>31</v>
      </c>
      <c r="H14" s="46" t="s">
        <v>73</v>
      </c>
      <c r="I14" s="47">
        <v>1000000</v>
      </c>
    </row>
    <row r="15" spans="6:9" ht="36" x14ac:dyDescent="0.35">
      <c r="F15" s="45" t="s">
        <v>13</v>
      </c>
      <c r="G15" s="48" t="s">
        <v>76</v>
      </c>
      <c r="H15" s="46" t="s">
        <v>70</v>
      </c>
      <c r="I15" s="47">
        <v>1300000</v>
      </c>
    </row>
    <row r="16" spans="6:9" ht="16.8" customHeight="1" x14ac:dyDescent="0.35">
      <c r="F16" s="45"/>
      <c r="G16" s="50"/>
      <c r="H16" s="50" t="s">
        <v>50</v>
      </c>
      <c r="I16" s="51">
        <f>SUBTOTAL(109,I10:I15)</f>
        <v>10115000</v>
      </c>
    </row>
    <row r="17" spans="6:9" ht="12.6" customHeight="1" x14ac:dyDescent="0.35"/>
    <row r="18" spans="6:9" ht="12.6" customHeight="1" x14ac:dyDescent="0.35"/>
    <row r="19" spans="6:9" ht="12.6" customHeight="1" x14ac:dyDescent="0.35"/>
    <row r="20" spans="6:9" ht="12.6" customHeight="1" x14ac:dyDescent="0.35"/>
    <row r="21" spans="6:9" ht="12.6" customHeight="1" x14ac:dyDescent="0.35"/>
    <row r="22" spans="6:9" ht="12.6" customHeight="1" x14ac:dyDescent="0.35"/>
    <row r="23" spans="6:9" ht="12.6" customHeight="1" x14ac:dyDescent="0.35"/>
    <row r="24" spans="6:9" ht="12.6" customHeight="1" x14ac:dyDescent="0.35"/>
    <row r="25" spans="6:9" ht="18" customHeight="1" thickBot="1" x14ac:dyDescent="0.4"/>
    <row r="26" spans="6:9" ht="18" customHeight="1" thickBot="1" x14ac:dyDescent="0.4">
      <c r="G26" s="238" t="s">
        <v>65</v>
      </c>
      <c r="H26" s="239"/>
    </row>
    <row r="27" spans="6:9" ht="18" customHeight="1" thickBot="1" x14ac:dyDescent="0.4">
      <c r="F27" s="52" t="s">
        <v>1</v>
      </c>
      <c r="G27" s="52" t="s">
        <v>2</v>
      </c>
      <c r="H27" s="52" t="s">
        <v>51</v>
      </c>
      <c r="I27" s="53" t="s">
        <v>3</v>
      </c>
    </row>
    <row r="28" spans="6:9" ht="18" customHeight="1" x14ac:dyDescent="0.35">
      <c r="F28" s="54" t="s">
        <v>21</v>
      </c>
      <c r="G28" s="55" t="s">
        <v>22</v>
      </c>
      <c r="H28" s="56" t="s">
        <v>56</v>
      </c>
      <c r="I28" s="57">
        <v>2171705.33</v>
      </c>
    </row>
    <row r="29" spans="6:9" ht="18" customHeight="1" x14ac:dyDescent="0.35">
      <c r="F29" s="54" t="s">
        <v>15</v>
      </c>
      <c r="G29" s="55" t="s">
        <v>16</v>
      </c>
      <c r="H29" s="56" t="s">
        <v>52</v>
      </c>
      <c r="I29" s="57">
        <v>1999945.58</v>
      </c>
    </row>
    <row r="30" spans="6:9" ht="18" customHeight="1" x14ac:dyDescent="0.35">
      <c r="F30" s="54" t="s">
        <v>17</v>
      </c>
      <c r="G30" s="55" t="s">
        <v>18</v>
      </c>
      <c r="H30" s="56" t="s">
        <v>53</v>
      </c>
      <c r="I30" s="57">
        <v>1820892.36</v>
      </c>
    </row>
    <row r="31" spans="6:9" ht="18" customHeight="1" x14ac:dyDescent="0.35">
      <c r="F31" s="60"/>
      <c r="G31" s="61"/>
      <c r="H31" s="61" t="s">
        <v>50</v>
      </c>
      <c r="I31" s="62">
        <f>SUBTOTAL(109,I28:I30)</f>
        <v>5992543.2700000005</v>
      </c>
    </row>
  </sheetData>
  <mergeCells count="2">
    <mergeCell ref="G7:H7"/>
    <mergeCell ref="G26:H26"/>
  </mergeCells>
  <pageMargins left="0.511811024" right="0.511811024" top="0.78740157499999996" bottom="0.78740157499999996" header="0.31496062000000002" footer="0.31496062000000002"/>
  <pageSetup paperSize="9" scale="94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933B-2010-4EE2-B55D-0B6E4BAFBA20}">
  <dimension ref="B1:F48"/>
  <sheetViews>
    <sheetView showGridLines="0" workbookViewId="0">
      <selection activeCell="B10" sqref="B10:F10"/>
    </sheetView>
  </sheetViews>
  <sheetFormatPr defaultRowHeight="17.399999999999999" x14ac:dyDescent="0.35"/>
  <cols>
    <col min="1" max="1" width="1.21875" style="1" customWidth="1"/>
    <col min="2" max="2" width="23.6640625" style="1" customWidth="1"/>
    <col min="3" max="3" width="26.6640625" style="1" customWidth="1"/>
    <col min="4" max="4" width="41.77734375" style="66" customWidth="1"/>
    <col min="5" max="5" width="21" style="2" customWidth="1"/>
    <col min="6" max="6" width="35.44140625" style="66" customWidth="1"/>
    <col min="7" max="7" width="5.21875" style="1" customWidth="1"/>
    <col min="8" max="16384" width="8.88671875" style="1"/>
  </cols>
  <sheetData>
    <row r="1" spans="2:6" x14ac:dyDescent="0.35">
      <c r="B1" s="67" t="s">
        <v>152</v>
      </c>
    </row>
    <row r="2" spans="2:6" ht="6" customHeight="1" thickBot="1" x14ac:dyDescent="0.4"/>
    <row r="3" spans="2:6" x14ac:dyDescent="0.35">
      <c r="B3" s="92" t="s">
        <v>1</v>
      </c>
      <c r="C3" s="93" t="s">
        <v>2</v>
      </c>
      <c r="D3" s="93" t="s">
        <v>81</v>
      </c>
      <c r="E3" s="94" t="s">
        <v>82</v>
      </c>
      <c r="F3" s="94" t="s">
        <v>92</v>
      </c>
    </row>
    <row r="4" spans="2:6" x14ac:dyDescent="0.35">
      <c r="B4" s="1" t="s">
        <v>67</v>
      </c>
      <c r="C4" s="1" t="s">
        <v>146</v>
      </c>
      <c r="D4" s="1"/>
      <c r="E4" s="2">
        <v>20000000</v>
      </c>
      <c r="F4" s="1" t="s">
        <v>101</v>
      </c>
    </row>
    <row r="5" spans="2:6" x14ac:dyDescent="0.35">
      <c r="B5" s="1" t="s">
        <v>15</v>
      </c>
      <c r="C5" s="1" t="s">
        <v>85</v>
      </c>
      <c r="D5" s="1"/>
      <c r="E5" s="2">
        <v>1999945.58</v>
      </c>
      <c r="F5" s="1" t="s">
        <v>101</v>
      </c>
    </row>
    <row r="6" spans="2:6" x14ac:dyDescent="0.35">
      <c r="B6" s="1" t="s">
        <v>17</v>
      </c>
      <c r="C6" s="1" t="s">
        <v>94</v>
      </c>
      <c r="D6" s="1"/>
      <c r="E6" s="2">
        <v>1820892.36</v>
      </c>
      <c r="F6" s="1" t="s">
        <v>101</v>
      </c>
    </row>
    <row r="7" spans="2:6" x14ac:dyDescent="0.35">
      <c r="B7" s="1" t="s">
        <v>95</v>
      </c>
      <c r="C7" s="1" t="s">
        <v>96</v>
      </c>
      <c r="D7" s="1"/>
      <c r="E7" s="2">
        <v>2171705.33</v>
      </c>
      <c r="F7" s="1" t="s">
        <v>101</v>
      </c>
    </row>
    <row r="8" spans="2:6" x14ac:dyDescent="0.35">
      <c r="B8" s="1" t="s">
        <v>6</v>
      </c>
      <c r="C8" s="1" t="s">
        <v>132</v>
      </c>
      <c r="D8" s="1"/>
      <c r="E8" s="2">
        <v>4500000</v>
      </c>
      <c r="F8" s="1" t="s">
        <v>101</v>
      </c>
    </row>
    <row r="9" spans="2:6" x14ac:dyDescent="0.35">
      <c r="B9" s="1" t="s">
        <v>11</v>
      </c>
      <c r="C9" s="1" t="s">
        <v>83</v>
      </c>
      <c r="D9" s="66" t="s">
        <v>105</v>
      </c>
      <c r="E9" s="2">
        <v>1315875.45</v>
      </c>
      <c r="F9" s="1" t="s">
        <v>101</v>
      </c>
    </row>
    <row r="10" spans="2:6" x14ac:dyDescent="0.35">
      <c r="B10" s="1" t="s">
        <v>4</v>
      </c>
      <c r="C10" s="1" t="s">
        <v>93</v>
      </c>
      <c r="D10" s="1"/>
      <c r="E10" s="2">
        <v>3000000</v>
      </c>
      <c r="F10" s="1" t="s">
        <v>101</v>
      </c>
    </row>
    <row r="11" spans="2:6" x14ac:dyDescent="0.35">
      <c r="B11" s="1" t="s">
        <v>147</v>
      </c>
      <c r="C11" s="1" t="s">
        <v>148</v>
      </c>
      <c r="D11" s="1"/>
      <c r="E11" s="2">
        <v>1000000</v>
      </c>
      <c r="F11" s="1" t="s">
        <v>101</v>
      </c>
    </row>
    <row r="12" spans="2:6" x14ac:dyDescent="0.35">
      <c r="B12" s="1" t="s">
        <v>149</v>
      </c>
      <c r="C12" s="1" t="s">
        <v>150</v>
      </c>
      <c r="D12" s="1"/>
      <c r="E12" s="2">
        <v>1000000</v>
      </c>
      <c r="F12" s="1" t="s">
        <v>101</v>
      </c>
    </row>
    <row r="13" spans="2:6" x14ac:dyDescent="0.35">
      <c r="B13" s="1" t="s">
        <v>149</v>
      </c>
      <c r="C13" s="1" t="s">
        <v>151</v>
      </c>
      <c r="D13" s="1"/>
      <c r="E13" s="2">
        <v>1000000</v>
      </c>
      <c r="F13" s="1" t="s">
        <v>101</v>
      </c>
    </row>
    <row r="14" spans="2:6" x14ac:dyDescent="0.35">
      <c r="D14" s="96" t="s">
        <v>131</v>
      </c>
      <c r="E14" s="95">
        <f>SUBTOTAL(109,E4:E13)</f>
        <v>37808418.719999999</v>
      </c>
      <c r="F14" s="1"/>
    </row>
    <row r="15" spans="2:6" x14ac:dyDescent="0.35">
      <c r="D15" s="1"/>
      <c r="F15" s="1"/>
    </row>
    <row r="17" spans="2:6" x14ac:dyDescent="0.35">
      <c r="B17" s="67" t="s">
        <v>153</v>
      </c>
    </row>
    <row r="18" spans="2:6" ht="6" customHeight="1" x14ac:dyDescent="0.35"/>
    <row r="19" spans="2:6" ht="18" thickBot="1" x14ac:dyDescent="0.4">
      <c r="B19" s="97" t="s">
        <v>1</v>
      </c>
      <c r="C19" s="98" t="s">
        <v>2</v>
      </c>
      <c r="D19" s="98" t="s">
        <v>81</v>
      </c>
      <c r="E19" s="99" t="s">
        <v>82</v>
      </c>
      <c r="F19" s="99" t="s">
        <v>92</v>
      </c>
    </row>
    <row r="20" spans="2:6" x14ac:dyDescent="0.35">
      <c r="B20" s="1" t="s">
        <v>23</v>
      </c>
      <c r="C20" s="1" t="s">
        <v>84</v>
      </c>
      <c r="D20" s="65" t="s">
        <v>111</v>
      </c>
      <c r="E20" s="2">
        <v>1406987.08</v>
      </c>
      <c r="F20" s="69" t="s">
        <v>100</v>
      </c>
    </row>
    <row r="21" spans="2:6" x14ac:dyDescent="0.35">
      <c r="B21" s="1" t="s">
        <v>23</v>
      </c>
      <c r="C21" s="1" t="s">
        <v>84</v>
      </c>
      <c r="D21" s="65" t="s">
        <v>112</v>
      </c>
      <c r="E21" s="2">
        <v>442113.46</v>
      </c>
      <c r="F21" s="69" t="s">
        <v>100</v>
      </c>
    </row>
    <row r="22" spans="2:6" x14ac:dyDescent="0.35">
      <c r="B22" s="1" t="s">
        <v>19</v>
      </c>
      <c r="C22" s="1" t="s">
        <v>20</v>
      </c>
      <c r="D22" s="65" t="s">
        <v>107</v>
      </c>
      <c r="E22" s="2">
        <v>1474215.57</v>
      </c>
      <c r="F22" s="69" t="s">
        <v>100</v>
      </c>
    </row>
    <row r="23" spans="2:6" x14ac:dyDescent="0.35">
      <c r="B23" s="1" t="s">
        <v>27</v>
      </c>
      <c r="C23" s="1" t="s">
        <v>86</v>
      </c>
      <c r="D23" s="65" t="s">
        <v>110</v>
      </c>
      <c r="E23" s="2">
        <v>1841314.24</v>
      </c>
      <c r="F23" s="69" t="s">
        <v>100</v>
      </c>
    </row>
    <row r="24" spans="2:6" x14ac:dyDescent="0.35">
      <c r="B24" s="1" t="s">
        <v>63</v>
      </c>
      <c r="C24" s="1" t="s">
        <v>90</v>
      </c>
      <c r="D24" s="65" t="s">
        <v>128</v>
      </c>
      <c r="E24" s="2">
        <v>1001012.24</v>
      </c>
      <c r="F24" s="69" t="s">
        <v>100</v>
      </c>
    </row>
    <row r="25" spans="2:6" x14ac:dyDescent="0.35">
      <c r="B25" s="1" t="s">
        <v>15</v>
      </c>
      <c r="C25" s="1" t="s">
        <v>85</v>
      </c>
      <c r="D25" s="65" t="s">
        <v>106</v>
      </c>
      <c r="E25" s="2">
        <v>175308.48</v>
      </c>
      <c r="F25" s="69" t="s">
        <v>100</v>
      </c>
    </row>
    <row r="26" spans="2:6" x14ac:dyDescent="0.35">
      <c r="B26" s="1" t="s">
        <v>6</v>
      </c>
      <c r="C26" s="1" t="s">
        <v>97</v>
      </c>
      <c r="D26" s="65" t="s">
        <v>139</v>
      </c>
      <c r="E26" s="2">
        <v>908033.58</v>
      </c>
      <c r="F26" s="69" t="s">
        <v>100</v>
      </c>
    </row>
    <row r="27" spans="2:6" x14ac:dyDescent="0.35">
      <c r="B27" s="1" t="s">
        <v>25</v>
      </c>
      <c r="C27" s="1" t="s">
        <v>60</v>
      </c>
      <c r="D27" s="65" t="s">
        <v>109</v>
      </c>
      <c r="E27" s="2">
        <v>1999962.2</v>
      </c>
      <c r="F27" s="69" t="s">
        <v>100</v>
      </c>
    </row>
    <row r="28" spans="2:6" x14ac:dyDescent="0.35">
      <c r="B28" s="1" t="s">
        <v>36</v>
      </c>
      <c r="C28" s="1" t="s">
        <v>87</v>
      </c>
      <c r="D28" s="65" t="s">
        <v>108</v>
      </c>
      <c r="E28" s="2">
        <v>950657.62</v>
      </c>
      <c r="F28" s="69" t="s">
        <v>100</v>
      </c>
    </row>
    <row r="29" spans="2:6" x14ac:dyDescent="0.35">
      <c r="B29" s="1" t="s">
        <v>67</v>
      </c>
      <c r="C29" s="1" t="s">
        <v>88</v>
      </c>
      <c r="D29" s="65" t="s">
        <v>127</v>
      </c>
      <c r="E29" s="2">
        <v>3416482.25</v>
      </c>
      <c r="F29" s="69" t="s">
        <v>100</v>
      </c>
    </row>
    <row r="30" spans="2:6" x14ac:dyDescent="0.35">
      <c r="B30" s="1" t="s">
        <v>30</v>
      </c>
      <c r="C30" s="1" t="s">
        <v>89</v>
      </c>
      <c r="D30" s="65" t="s">
        <v>129</v>
      </c>
      <c r="E30" s="2">
        <v>1048606.3500000001</v>
      </c>
      <c r="F30" s="69" t="s">
        <v>100</v>
      </c>
    </row>
    <row r="31" spans="2:6" x14ac:dyDescent="0.35">
      <c r="B31" s="1" t="s">
        <v>13</v>
      </c>
      <c r="C31" s="1" t="s">
        <v>91</v>
      </c>
      <c r="D31" s="65" t="s">
        <v>137</v>
      </c>
      <c r="E31" s="2">
        <v>1320816.46</v>
      </c>
      <c r="F31" s="69" t="s">
        <v>100</v>
      </c>
    </row>
    <row r="32" spans="2:6" x14ac:dyDescent="0.35">
      <c r="B32" s="1" t="s">
        <v>78</v>
      </c>
      <c r="C32" s="1" t="s">
        <v>133</v>
      </c>
      <c r="D32" s="65" t="s">
        <v>142</v>
      </c>
      <c r="E32" s="2">
        <v>3000000</v>
      </c>
      <c r="F32" s="69" t="s">
        <v>100</v>
      </c>
    </row>
    <row r="33" spans="2:6" x14ac:dyDescent="0.35">
      <c r="B33" s="1" t="s">
        <v>41</v>
      </c>
      <c r="C33" s="1" t="s">
        <v>130</v>
      </c>
      <c r="D33" s="65" t="s">
        <v>113</v>
      </c>
      <c r="E33" s="2">
        <v>950664.72</v>
      </c>
      <c r="F33" s="69" t="s">
        <v>100</v>
      </c>
    </row>
    <row r="34" spans="2:6" x14ac:dyDescent="0.35">
      <c r="B34" s="1" t="s">
        <v>4</v>
      </c>
      <c r="C34" s="1" t="s">
        <v>93</v>
      </c>
      <c r="D34" s="65" t="s">
        <v>104</v>
      </c>
      <c r="E34" s="2">
        <v>6464841.9500000002</v>
      </c>
      <c r="F34" s="69" t="s">
        <v>100</v>
      </c>
    </row>
    <row r="35" spans="2:6" ht="18" thickBot="1" x14ac:dyDescent="0.4">
      <c r="B35" s="1" t="s">
        <v>134</v>
      </c>
      <c r="C35" s="1" t="s">
        <v>135</v>
      </c>
      <c r="D35" s="65" t="s">
        <v>141</v>
      </c>
      <c r="E35" s="2">
        <v>993476.82</v>
      </c>
      <c r="F35" s="69" t="s">
        <v>100</v>
      </c>
    </row>
    <row r="36" spans="2:6" ht="18" thickBot="1" x14ac:dyDescent="0.4">
      <c r="D36" s="68" t="s">
        <v>50</v>
      </c>
      <c r="E36" s="91">
        <f>SUBTOTAL(109,E20:E35)</f>
        <v>27394493.02</v>
      </c>
    </row>
    <row r="40" spans="2:6" x14ac:dyDescent="0.35">
      <c r="B40" s="67" t="s">
        <v>154</v>
      </c>
    </row>
    <row r="41" spans="2:6" ht="6.6" customHeight="1" x14ac:dyDescent="0.35"/>
    <row r="42" spans="2:6" ht="18" thickBot="1" x14ac:dyDescent="0.4">
      <c r="B42" s="97" t="s">
        <v>1</v>
      </c>
      <c r="C42" s="98" t="s">
        <v>2</v>
      </c>
      <c r="D42" s="98" t="s">
        <v>81</v>
      </c>
      <c r="E42" s="99" t="s">
        <v>82</v>
      </c>
      <c r="F42" s="99" t="s">
        <v>92</v>
      </c>
    </row>
    <row r="43" spans="2:6" x14ac:dyDescent="0.35">
      <c r="B43" s="100" t="s">
        <v>37</v>
      </c>
      <c r="C43" s="101" t="s">
        <v>98</v>
      </c>
      <c r="D43" s="102" t="s">
        <v>104</v>
      </c>
      <c r="E43" s="103">
        <v>1000000</v>
      </c>
      <c r="F43" s="104" t="s">
        <v>99</v>
      </c>
    </row>
    <row r="44" spans="2:6" x14ac:dyDescent="0.35">
      <c r="B44" s="100" t="s">
        <v>155</v>
      </c>
      <c r="C44" s="101" t="s">
        <v>158</v>
      </c>
      <c r="D44" s="102" t="s">
        <v>159</v>
      </c>
      <c r="E44" s="103">
        <v>1400000</v>
      </c>
      <c r="F44" s="104" t="s">
        <v>99</v>
      </c>
    </row>
    <row r="45" spans="2:6" x14ac:dyDescent="0.35">
      <c r="B45" s="100" t="s">
        <v>156</v>
      </c>
      <c r="C45" s="101" t="s">
        <v>160</v>
      </c>
      <c r="D45" s="102" t="s">
        <v>104</v>
      </c>
      <c r="E45" s="103">
        <v>0</v>
      </c>
      <c r="F45" s="104" t="s">
        <v>99</v>
      </c>
    </row>
    <row r="46" spans="2:6" x14ac:dyDescent="0.35">
      <c r="B46" s="100" t="s">
        <v>157</v>
      </c>
      <c r="C46" s="101" t="s">
        <v>161</v>
      </c>
      <c r="D46" s="102" t="s">
        <v>104</v>
      </c>
      <c r="E46" s="103">
        <v>0</v>
      </c>
      <c r="F46" s="104" t="s">
        <v>99</v>
      </c>
    </row>
    <row r="47" spans="2:6" ht="18" thickBot="1" x14ac:dyDescent="0.4">
      <c r="B47" s="100" t="s">
        <v>247</v>
      </c>
      <c r="C47" s="101" t="s">
        <v>248</v>
      </c>
      <c r="D47" s="102" t="s">
        <v>104</v>
      </c>
      <c r="E47" s="103">
        <v>0</v>
      </c>
      <c r="F47" s="104" t="s">
        <v>99</v>
      </c>
    </row>
    <row r="48" spans="2:6" ht="18" thickBot="1" x14ac:dyDescent="0.4">
      <c r="B48" s="100"/>
      <c r="C48" s="101"/>
      <c r="D48" s="68" t="s">
        <v>50</v>
      </c>
      <c r="E48" s="91">
        <f>SUBTOTAL(109,E43:E47)</f>
        <v>2400000</v>
      </c>
      <c r="F48" s="104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6C27-8333-4527-98D1-1AF291A81BD7}">
  <dimension ref="B1:K43"/>
  <sheetViews>
    <sheetView showGridLines="0" topLeftCell="A19" workbookViewId="0">
      <selection activeCell="E3" sqref="E3:J23"/>
    </sheetView>
  </sheetViews>
  <sheetFormatPr defaultRowHeight="15.6" x14ac:dyDescent="0.3"/>
  <cols>
    <col min="1" max="1" width="1.21875" style="29" customWidth="1"/>
    <col min="2" max="3" width="9.33203125" style="29" customWidth="1"/>
    <col min="4" max="4" width="12.88671875" style="29" customWidth="1"/>
    <col min="5" max="5" width="5.77734375" style="73" customWidth="1"/>
    <col min="6" max="6" width="22.77734375" style="29" customWidth="1"/>
    <col min="7" max="7" width="46" style="29" bestFit="1" customWidth="1"/>
    <col min="8" max="8" width="37.6640625" style="29" customWidth="1"/>
    <col min="9" max="9" width="26.44140625" style="73" customWidth="1"/>
    <col min="10" max="10" width="19.88671875" style="31" customWidth="1"/>
    <col min="11" max="11" width="13.6640625" style="29" customWidth="1"/>
    <col min="12" max="16384" width="8.88671875" style="29"/>
  </cols>
  <sheetData>
    <row r="1" spans="2:10" x14ac:dyDescent="0.3">
      <c r="B1" s="70" t="s">
        <v>145</v>
      </c>
      <c r="F1" s="70" t="s">
        <v>115</v>
      </c>
    </row>
    <row r="2" spans="2:10" ht="4.2" customHeight="1" thickBot="1" x14ac:dyDescent="0.35"/>
    <row r="3" spans="2:10" ht="16.2" customHeight="1" thickBot="1" x14ac:dyDescent="0.35">
      <c r="E3" s="74" t="s">
        <v>162</v>
      </c>
      <c r="F3" s="74" t="s">
        <v>1</v>
      </c>
      <c r="G3" s="75" t="s">
        <v>2</v>
      </c>
      <c r="H3" s="75" t="s">
        <v>102</v>
      </c>
      <c r="I3" s="75" t="s">
        <v>103</v>
      </c>
      <c r="J3" s="76" t="s">
        <v>82</v>
      </c>
    </row>
    <row r="4" spans="2:10" x14ac:dyDescent="0.3">
      <c r="E4" s="112">
        <v>1</v>
      </c>
      <c r="F4" s="105" t="s">
        <v>23</v>
      </c>
      <c r="G4" s="106" t="s">
        <v>84</v>
      </c>
      <c r="H4" s="106" t="s">
        <v>111</v>
      </c>
      <c r="I4" s="107" t="s">
        <v>117</v>
      </c>
      <c r="J4" s="108">
        <v>1406987.08</v>
      </c>
    </row>
    <row r="5" spans="2:10" x14ac:dyDescent="0.3">
      <c r="E5" s="109"/>
      <c r="F5" s="29" t="s">
        <v>23</v>
      </c>
      <c r="G5" s="29" t="s">
        <v>84</v>
      </c>
      <c r="H5" s="29" t="s">
        <v>112</v>
      </c>
      <c r="I5" s="73" t="s">
        <v>119</v>
      </c>
      <c r="J5" s="31">
        <v>442113.46</v>
      </c>
    </row>
    <row r="6" spans="2:10" x14ac:dyDescent="0.3">
      <c r="E6" s="112">
        <v>1</v>
      </c>
      <c r="F6" s="114" t="s">
        <v>19</v>
      </c>
      <c r="G6" s="114" t="s">
        <v>20</v>
      </c>
      <c r="H6" s="114" t="s">
        <v>107</v>
      </c>
      <c r="I6" s="107" t="s">
        <v>123</v>
      </c>
      <c r="J6" s="108">
        <v>1474215.57</v>
      </c>
    </row>
    <row r="7" spans="2:10" x14ac:dyDescent="0.3">
      <c r="E7" s="109"/>
      <c r="F7" s="77" t="s">
        <v>27</v>
      </c>
      <c r="G7" s="78" t="s">
        <v>86</v>
      </c>
      <c r="H7" s="78" t="s">
        <v>110</v>
      </c>
      <c r="I7" s="87" t="s">
        <v>121</v>
      </c>
      <c r="J7" s="88">
        <v>1841314.24</v>
      </c>
    </row>
    <row r="8" spans="2:10" x14ac:dyDescent="0.3">
      <c r="E8" s="112">
        <v>1</v>
      </c>
      <c r="F8" s="114" t="s">
        <v>63</v>
      </c>
      <c r="G8" s="114" t="s">
        <v>90</v>
      </c>
      <c r="H8" s="114" t="s">
        <v>128</v>
      </c>
      <c r="I8" s="107" t="s">
        <v>125</v>
      </c>
      <c r="J8" s="108">
        <v>1001012.24</v>
      </c>
    </row>
    <row r="9" spans="2:10" x14ac:dyDescent="0.3">
      <c r="E9" s="109"/>
      <c r="F9" s="29" t="s">
        <v>15</v>
      </c>
      <c r="G9" s="29" t="s">
        <v>85</v>
      </c>
      <c r="H9" s="29" t="s">
        <v>106</v>
      </c>
      <c r="I9" s="73" t="s">
        <v>118</v>
      </c>
      <c r="J9" s="31">
        <v>175308.48</v>
      </c>
    </row>
    <row r="10" spans="2:10" x14ac:dyDescent="0.3">
      <c r="E10" s="112">
        <v>1</v>
      </c>
      <c r="F10" s="114" t="s">
        <v>6</v>
      </c>
      <c r="G10" s="114" t="s">
        <v>97</v>
      </c>
      <c r="H10" s="114" t="s">
        <v>139</v>
      </c>
      <c r="I10" s="107" t="s">
        <v>138</v>
      </c>
      <c r="J10" s="108">
        <v>908033.58</v>
      </c>
    </row>
    <row r="11" spans="2:10" x14ac:dyDescent="0.3">
      <c r="E11" s="112">
        <v>1</v>
      </c>
      <c r="F11" s="105" t="s">
        <v>25</v>
      </c>
      <c r="G11" s="106" t="s">
        <v>60</v>
      </c>
      <c r="H11" s="106" t="s">
        <v>164</v>
      </c>
      <c r="I11" s="113" t="s">
        <v>114</v>
      </c>
      <c r="J11" s="111">
        <v>999981.1</v>
      </c>
    </row>
    <row r="12" spans="2:10" x14ac:dyDescent="0.3">
      <c r="E12" s="109">
        <v>2</v>
      </c>
      <c r="F12" s="77" t="s">
        <v>25</v>
      </c>
      <c r="G12" s="78" t="s">
        <v>60</v>
      </c>
      <c r="H12" s="78" t="s">
        <v>164</v>
      </c>
      <c r="I12" s="87" t="s">
        <v>114</v>
      </c>
      <c r="J12" s="88">
        <v>999981.1</v>
      </c>
    </row>
    <row r="13" spans="2:10" x14ac:dyDescent="0.3">
      <c r="E13" s="112">
        <v>1</v>
      </c>
      <c r="F13" s="114" t="s">
        <v>36</v>
      </c>
      <c r="G13" s="114" t="s">
        <v>87</v>
      </c>
      <c r="H13" s="114" t="s">
        <v>108</v>
      </c>
      <c r="I13" s="107" t="s">
        <v>122</v>
      </c>
      <c r="J13" s="108">
        <v>950657.62</v>
      </c>
    </row>
    <row r="14" spans="2:10" x14ac:dyDescent="0.3">
      <c r="E14" s="109"/>
      <c r="F14" s="77" t="s">
        <v>67</v>
      </c>
      <c r="G14" s="78" t="s">
        <v>88</v>
      </c>
      <c r="H14" s="78" t="s">
        <v>127</v>
      </c>
      <c r="I14" s="87" t="s">
        <v>124</v>
      </c>
      <c r="J14" s="31">
        <v>3416482.25</v>
      </c>
    </row>
    <row r="15" spans="2:10" x14ac:dyDescent="0.3">
      <c r="E15" s="109"/>
      <c r="F15" s="29" t="s">
        <v>30</v>
      </c>
      <c r="G15" s="29" t="s">
        <v>89</v>
      </c>
      <c r="H15" s="29" t="s">
        <v>129</v>
      </c>
      <c r="I15" s="73" t="s">
        <v>126</v>
      </c>
      <c r="J15" s="81">
        <v>1048606.3500000001</v>
      </c>
    </row>
    <row r="16" spans="2:10" x14ac:dyDescent="0.3">
      <c r="E16" s="109"/>
      <c r="F16" s="29" t="s">
        <v>13</v>
      </c>
      <c r="G16" s="29" t="s">
        <v>91</v>
      </c>
      <c r="H16" s="29" t="s">
        <v>137</v>
      </c>
      <c r="I16" s="73" t="s">
        <v>136</v>
      </c>
      <c r="J16" s="31">
        <v>1320816.46</v>
      </c>
    </row>
    <row r="17" spans="5:10" x14ac:dyDescent="0.3">
      <c r="E17" s="112">
        <v>1</v>
      </c>
      <c r="F17" s="115" t="s">
        <v>78</v>
      </c>
      <c r="G17" s="116" t="s">
        <v>133</v>
      </c>
      <c r="H17" s="114" t="s">
        <v>163</v>
      </c>
      <c r="I17" s="107"/>
      <c r="J17" s="108">
        <v>1500000</v>
      </c>
    </row>
    <row r="18" spans="5:10" x14ac:dyDescent="0.3">
      <c r="E18" s="110">
        <v>2</v>
      </c>
      <c r="F18" s="89" t="s">
        <v>78</v>
      </c>
      <c r="G18" s="90" t="s">
        <v>133</v>
      </c>
      <c r="H18" s="29" t="s">
        <v>163</v>
      </c>
      <c r="J18" s="31">
        <v>1500000</v>
      </c>
    </row>
    <row r="19" spans="5:10" x14ac:dyDescent="0.3">
      <c r="E19" s="109"/>
      <c r="F19" s="29" t="s">
        <v>41</v>
      </c>
      <c r="G19" s="29" t="s">
        <v>130</v>
      </c>
      <c r="H19" s="29" t="s">
        <v>113</v>
      </c>
      <c r="I19" s="73" t="s">
        <v>120</v>
      </c>
      <c r="J19" s="31">
        <v>950664.72</v>
      </c>
    </row>
    <row r="20" spans="5:10" x14ac:dyDescent="0.3">
      <c r="E20" s="109"/>
      <c r="F20" s="77" t="s">
        <v>4</v>
      </c>
      <c r="G20" s="78" t="s">
        <v>93</v>
      </c>
      <c r="H20" s="29" t="s">
        <v>104</v>
      </c>
      <c r="I20" s="73" t="s">
        <v>144</v>
      </c>
      <c r="J20" s="31">
        <v>6464841.9500000002</v>
      </c>
    </row>
    <row r="21" spans="5:10" x14ac:dyDescent="0.3">
      <c r="E21" s="109"/>
      <c r="F21" s="29" t="s">
        <v>134</v>
      </c>
      <c r="G21" s="29" t="s">
        <v>135</v>
      </c>
      <c r="H21" s="29" t="s">
        <v>141</v>
      </c>
      <c r="I21" s="73" t="s">
        <v>140</v>
      </c>
      <c r="J21" s="31">
        <v>993476.82</v>
      </c>
    </row>
    <row r="22" spans="5:10" ht="16.2" thickBot="1" x14ac:dyDescent="0.35">
      <c r="F22" s="29" t="s">
        <v>37</v>
      </c>
      <c r="G22" s="29" t="s">
        <v>98</v>
      </c>
      <c r="H22" s="29" t="s">
        <v>104</v>
      </c>
      <c r="I22" s="73" t="s">
        <v>99</v>
      </c>
      <c r="J22" s="31">
        <v>1000000</v>
      </c>
    </row>
    <row r="23" spans="5:10" ht="16.2" thickBot="1" x14ac:dyDescent="0.35">
      <c r="I23" s="79" t="s">
        <v>131</v>
      </c>
      <c r="J23" s="80">
        <f>SUBTOTAL(109,Tabela57[Valor Total])</f>
        <v>28394493.02</v>
      </c>
    </row>
    <row r="26" spans="5:10" ht="4.2" customHeight="1" x14ac:dyDescent="0.3"/>
    <row r="43" spans="6:11" x14ac:dyDescent="0.3">
      <c r="F43" s="83" t="s">
        <v>11</v>
      </c>
      <c r="G43" s="84" t="s">
        <v>83</v>
      </c>
      <c r="H43" s="84" t="s">
        <v>105</v>
      </c>
      <c r="I43" s="85" t="s">
        <v>116</v>
      </c>
      <c r="J43" s="86">
        <v>1315875.45</v>
      </c>
      <c r="K43" s="82" t="s">
        <v>143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6326-0170-4B4B-AA22-4FB8350AE9FE}">
  <sheetPr>
    <pageSetUpPr fitToPage="1"/>
  </sheetPr>
  <dimension ref="A2:L171"/>
  <sheetViews>
    <sheetView showGridLines="0" topLeftCell="A145" workbookViewId="0">
      <selection activeCell="E164" sqref="E164"/>
    </sheetView>
  </sheetViews>
  <sheetFormatPr defaultRowHeight="14.4" x14ac:dyDescent="0.3"/>
  <cols>
    <col min="1" max="1" width="9.33203125" customWidth="1"/>
    <col min="2" max="2" width="3" customWidth="1"/>
    <col min="3" max="3" width="4.21875" customWidth="1"/>
    <col min="4" max="4" width="6.33203125" style="71" customWidth="1"/>
    <col min="5" max="5" width="23.88671875" customWidth="1"/>
    <col min="6" max="6" width="32.21875" bestFit="1" customWidth="1"/>
    <col min="7" max="7" width="39.6640625" bestFit="1" customWidth="1"/>
    <col min="8" max="8" width="28.33203125" style="71" customWidth="1"/>
    <col min="9" max="9" width="30.44140625" style="71" bestFit="1" customWidth="1"/>
    <col min="10" max="10" width="19.21875" style="72" customWidth="1"/>
    <col min="11" max="11" width="3" customWidth="1"/>
    <col min="12" max="12" width="9.88671875" customWidth="1"/>
  </cols>
  <sheetData>
    <row r="2" spans="1:10" ht="18" x14ac:dyDescent="0.35">
      <c r="D2"/>
      <c r="F2" s="240" t="s">
        <v>171</v>
      </c>
      <c r="G2" s="240"/>
    </row>
    <row r="3" spans="1:10" ht="17.399999999999999" x14ac:dyDescent="0.35">
      <c r="D3"/>
      <c r="F3" s="124"/>
      <c r="G3" s="124"/>
    </row>
    <row r="4" spans="1:10" ht="18" thickBot="1" x14ac:dyDescent="0.4">
      <c r="D4" s="143" t="s">
        <v>237</v>
      </c>
      <c r="F4" s="124"/>
      <c r="G4" s="124"/>
    </row>
    <row r="5" spans="1:10" ht="15" thickBot="1" x14ac:dyDescent="0.35">
      <c r="D5" s="128" t="s">
        <v>162</v>
      </c>
      <c r="E5" s="129" t="s">
        <v>1</v>
      </c>
      <c r="F5" s="129" t="s">
        <v>2</v>
      </c>
      <c r="G5" s="129" t="s">
        <v>102</v>
      </c>
      <c r="H5" s="129" t="s">
        <v>103</v>
      </c>
      <c r="I5" s="129" t="s">
        <v>334</v>
      </c>
      <c r="J5" s="130" t="s">
        <v>82</v>
      </c>
    </row>
    <row r="6" spans="1:10" x14ac:dyDescent="0.3">
      <c r="D6" s="125">
        <v>0</v>
      </c>
      <c r="E6" s="126" t="s">
        <v>167</v>
      </c>
      <c r="F6" s="151" t="s">
        <v>168</v>
      </c>
      <c r="G6" s="126" t="s">
        <v>172</v>
      </c>
      <c r="H6" s="125"/>
      <c r="I6" s="125"/>
      <c r="J6" s="127">
        <v>5900000</v>
      </c>
    </row>
    <row r="7" spans="1:10" ht="14.4" customHeight="1" x14ac:dyDescent="0.3">
      <c r="D7" s="121"/>
      <c r="E7" s="121"/>
      <c r="F7" s="121"/>
      <c r="G7" s="121"/>
      <c r="I7" s="122" t="s">
        <v>131</v>
      </c>
      <c r="J7" s="123">
        <f>J6</f>
        <v>5900000</v>
      </c>
    </row>
    <row r="8" spans="1:10" ht="17.399999999999999" customHeight="1" x14ac:dyDescent="0.3">
      <c r="D8" s="121"/>
      <c r="E8" s="121"/>
      <c r="F8" s="121"/>
      <c r="G8" s="121"/>
      <c r="H8" s="145"/>
      <c r="I8" s="145"/>
      <c r="J8" s="146"/>
    </row>
    <row r="9" spans="1:10" ht="17.399999999999999" customHeight="1" x14ac:dyDescent="0.3">
      <c r="D9" s="121"/>
      <c r="E9" s="121"/>
      <c r="F9" s="121"/>
      <c r="G9" s="121"/>
      <c r="H9" s="145"/>
      <c r="I9" s="145"/>
      <c r="J9" s="146"/>
    </row>
    <row r="10" spans="1:10" ht="15" x14ac:dyDescent="0.3">
      <c r="A10" s="117"/>
      <c r="D10" s="142" t="s">
        <v>175</v>
      </c>
      <c r="E10" s="117"/>
    </row>
    <row r="11" spans="1:10" ht="1.8" customHeight="1" thickBot="1" x14ac:dyDescent="0.35"/>
    <row r="12" spans="1:10" ht="15" thickBot="1" x14ac:dyDescent="0.35">
      <c r="D12" s="128" t="s">
        <v>162</v>
      </c>
      <c r="E12" s="129" t="s">
        <v>1</v>
      </c>
      <c r="F12" s="129" t="s">
        <v>2</v>
      </c>
      <c r="G12" s="129" t="s">
        <v>102</v>
      </c>
      <c r="H12" s="129" t="s">
        <v>103</v>
      </c>
      <c r="I12" s="129" t="s">
        <v>334</v>
      </c>
      <c r="J12" s="130" t="s">
        <v>82</v>
      </c>
    </row>
    <row r="13" spans="1:10" x14ac:dyDescent="0.3">
      <c r="D13" s="125">
        <v>0</v>
      </c>
      <c r="E13" s="126" t="s">
        <v>166</v>
      </c>
      <c r="F13" s="151" t="s">
        <v>168</v>
      </c>
      <c r="G13" s="126" t="s">
        <v>165</v>
      </c>
      <c r="H13" s="125"/>
      <c r="I13" s="125"/>
      <c r="J13" s="127">
        <v>2000000</v>
      </c>
    </row>
    <row r="14" spans="1:10" s="121" customFormat="1" ht="14.4" customHeight="1" x14ac:dyDescent="0.3">
      <c r="H14" s="71"/>
      <c r="I14" s="122" t="s">
        <v>131</v>
      </c>
      <c r="J14" s="123">
        <f>J13</f>
        <v>2000000</v>
      </c>
    </row>
    <row r="15" spans="1:10" s="121" customFormat="1" ht="17.399999999999999" customHeight="1" x14ac:dyDescent="0.3">
      <c r="D15" s="71"/>
      <c r="E15" s="147"/>
      <c r="F15" s="147"/>
      <c r="G15" s="147"/>
      <c r="H15" s="71"/>
      <c r="I15" s="71"/>
      <c r="J15" s="148"/>
    </row>
    <row r="16" spans="1:10" s="121" customFormat="1" ht="17.399999999999999" customHeight="1" x14ac:dyDescent="0.3">
      <c r="D16" s="142" t="s">
        <v>238</v>
      </c>
      <c r="E16" s="147"/>
      <c r="F16" s="147"/>
      <c r="G16" s="147"/>
      <c r="H16" s="71"/>
      <c r="I16" s="71"/>
      <c r="J16" s="148"/>
    </row>
    <row r="17" spans="4:10" s="121" customFormat="1" ht="2.4" customHeight="1" thickBot="1" x14ac:dyDescent="0.35">
      <c r="D17" s="71"/>
      <c r="E17" s="147"/>
      <c r="F17" s="147"/>
      <c r="G17" s="147"/>
      <c r="H17" s="71"/>
      <c r="I17" s="71"/>
      <c r="J17" s="148"/>
    </row>
    <row r="18" spans="4:10" s="121" customFormat="1" ht="17.399999999999999" customHeight="1" thickBot="1" x14ac:dyDescent="0.35">
      <c r="D18" s="128" t="s">
        <v>162</v>
      </c>
      <c r="E18" s="129" t="s">
        <v>1</v>
      </c>
      <c r="F18" s="149" t="s">
        <v>2</v>
      </c>
      <c r="G18" s="129" t="s">
        <v>102</v>
      </c>
      <c r="H18" s="129" t="s">
        <v>103</v>
      </c>
      <c r="I18" s="129" t="s">
        <v>334</v>
      </c>
      <c r="J18" s="130" t="s">
        <v>82</v>
      </c>
    </row>
    <row r="19" spans="4:10" s="121" customFormat="1" ht="15" customHeight="1" x14ac:dyDescent="0.3">
      <c r="D19" s="135">
        <v>0</v>
      </c>
      <c r="E19" s="136" t="s">
        <v>21</v>
      </c>
      <c r="F19" s="150" t="s">
        <v>96</v>
      </c>
      <c r="G19" s="136" t="s">
        <v>240</v>
      </c>
      <c r="H19" s="135" t="s">
        <v>239</v>
      </c>
      <c r="I19" s="135" t="s">
        <v>347</v>
      </c>
      <c r="J19" s="137">
        <v>645999.5</v>
      </c>
    </row>
    <row r="20" spans="4:10" s="121" customFormat="1" ht="15" customHeight="1" x14ac:dyDescent="0.3">
      <c r="D20" s="135">
        <v>0</v>
      </c>
      <c r="E20" s="136" t="s">
        <v>78</v>
      </c>
      <c r="F20" s="150" t="s">
        <v>133</v>
      </c>
      <c r="G20" s="136" t="s">
        <v>240</v>
      </c>
      <c r="H20" s="135" t="s">
        <v>241</v>
      </c>
      <c r="I20" s="135" t="s">
        <v>347</v>
      </c>
      <c r="J20" s="137">
        <v>692699.19</v>
      </c>
    </row>
    <row r="21" spans="4:10" s="121" customFormat="1" ht="15" customHeight="1" x14ac:dyDescent="0.3">
      <c r="D21" s="135">
        <v>0</v>
      </c>
      <c r="E21" s="136" t="s">
        <v>242</v>
      </c>
      <c r="F21" s="150" t="s">
        <v>29</v>
      </c>
      <c r="G21" s="136" t="s">
        <v>240</v>
      </c>
      <c r="H21" s="135" t="s">
        <v>243</v>
      </c>
      <c r="I21" s="173" t="s">
        <v>343</v>
      </c>
      <c r="J21" s="137">
        <v>362130.36</v>
      </c>
    </row>
    <row r="22" spans="4:10" s="121" customFormat="1" ht="15" customHeight="1" x14ac:dyDescent="0.3">
      <c r="D22" s="135">
        <v>0</v>
      </c>
      <c r="E22" s="136" t="s">
        <v>244</v>
      </c>
      <c r="F22" s="150" t="s">
        <v>246</v>
      </c>
      <c r="G22" s="136" t="s">
        <v>240</v>
      </c>
      <c r="H22" s="135" t="s">
        <v>245</v>
      </c>
      <c r="I22" s="135" t="s">
        <v>347</v>
      </c>
      <c r="J22" s="137">
        <v>380969.09</v>
      </c>
    </row>
    <row r="23" spans="4:10" s="121" customFormat="1" ht="17.399999999999999" customHeight="1" x14ac:dyDescent="0.3">
      <c r="D23" s="71"/>
      <c r="E23" s="147"/>
      <c r="F23" s="147"/>
      <c r="G23" s="147"/>
      <c r="H23" s="71"/>
      <c r="I23" s="122" t="s">
        <v>131</v>
      </c>
      <c r="J23" s="123">
        <f>J19+J20+J21+J22</f>
        <v>2081798.14</v>
      </c>
    </row>
    <row r="24" spans="4:10" s="121" customFormat="1" ht="17.399999999999999" customHeight="1" x14ac:dyDescent="0.3">
      <c r="D24" s="71"/>
      <c r="E24" s="147"/>
      <c r="F24" s="147"/>
      <c r="G24" s="147"/>
      <c r="H24" s="71"/>
      <c r="I24" s="71"/>
      <c r="J24" s="148"/>
    </row>
    <row r="26" spans="4:10" ht="15" x14ac:dyDescent="0.3">
      <c r="D26" s="142" t="s">
        <v>173</v>
      </c>
    </row>
    <row r="27" spans="4:10" ht="1.8" customHeight="1" thickBot="1" x14ac:dyDescent="0.35"/>
    <row r="28" spans="4:10" ht="15" thickBot="1" x14ac:dyDescent="0.35">
      <c r="D28" s="128" t="s">
        <v>162</v>
      </c>
      <c r="E28" s="129" t="s">
        <v>1</v>
      </c>
      <c r="F28" s="129" t="s">
        <v>2</v>
      </c>
      <c r="G28" s="129" t="s">
        <v>102</v>
      </c>
      <c r="H28" s="129" t="s">
        <v>103</v>
      </c>
      <c r="I28" s="129" t="s">
        <v>334</v>
      </c>
      <c r="J28" s="130" t="s">
        <v>82</v>
      </c>
    </row>
    <row r="29" spans="4:10" x14ac:dyDescent="0.3">
      <c r="D29" s="125">
        <v>1</v>
      </c>
      <c r="E29" s="126" t="s">
        <v>23</v>
      </c>
      <c r="F29" s="126" t="s">
        <v>84</v>
      </c>
      <c r="G29" s="126" t="s">
        <v>111</v>
      </c>
      <c r="H29" s="125" t="s">
        <v>117</v>
      </c>
      <c r="I29" s="168" t="s">
        <v>143</v>
      </c>
      <c r="J29" s="127">
        <v>1406987.08</v>
      </c>
    </row>
    <row r="30" spans="4:10" x14ac:dyDescent="0.3">
      <c r="D30" s="118">
        <v>1</v>
      </c>
      <c r="E30" s="119" t="s">
        <v>23</v>
      </c>
      <c r="F30" s="119" t="s">
        <v>84</v>
      </c>
      <c r="G30" s="119" t="s">
        <v>112</v>
      </c>
      <c r="H30" s="118" t="s">
        <v>119</v>
      </c>
      <c r="I30" s="168" t="s">
        <v>143</v>
      </c>
      <c r="J30" s="120">
        <v>442113.46</v>
      </c>
    </row>
    <row r="31" spans="4:10" x14ac:dyDescent="0.3">
      <c r="D31" s="118">
        <v>1</v>
      </c>
      <c r="E31" s="119" t="s">
        <v>27</v>
      </c>
      <c r="F31" s="119" t="s">
        <v>86</v>
      </c>
      <c r="G31" s="119" t="s">
        <v>110</v>
      </c>
      <c r="H31" s="118" t="s">
        <v>121</v>
      </c>
      <c r="I31" s="168" t="s">
        <v>143</v>
      </c>
      <c r="J31" s="120">
        <v>1841314.24</v>
      </c>
    </row>
    <row r="32" spans="4:10" x14ac:dyDescent="0.3">
      <c r="D32" s="118">
        <v>1</v>
      </c>
      <c r="E32" s="119" t="s">
        <v>19</v>
      </c>
      <c r="F32" s="119" t="s">
        <v>20</v>
      </c>
      <c r="G32" s="119" t="s">
        <v>107</v>
      </c>
      <c r="H32" s="118" t="s">
        <v>123</v>
      </c>
      <c r="I32" s="164" t="s">
        <v>335</v>
      </c>
      <c r="J32" s="120">
        <v>1474215.57</v>
      </c>
    </row>
    <row r="33" spans="4:12" x14ac:dyDescent="0.3">
      <c r="D33" s="118">
        <v>1</v>
      </c>
      <c r="E33" s="119" t="s">
        <v>63</v>
      </c>
      <c r="F33" s="119" t="s">
        <v>90</v>
      </c>
      <c r="G33" s="119" t="s">
        <v>128</v>
      </c>
      <c r="H33" s="118" t="s">
        <v>125</v>
      </c>
      <c r="I33" s="169" t="s">
        <v>336</v>
      </c>
      <c r="J33" s="120">
        <v>1001012.24</v>
      </c>
    </row>
    <row r="34" spans="4:12" x14ac:dyDescent="0.3">
      <c r="D34" s="118">
        <v>1</v>
      </c>
      <c r="E34" s="119" t="s">
        <v>6</v>
      </c>
      <c r="F34" s="119" t="s">
        <v>97</v>
      </c>
      <c r="G34" s="119" t="s">
        <v>139</v>
      </c>
      <c r="H34" s="118" t="s">
        <v>138</v>
      </c>
      <c r="I34" s="169" t="s">
        <v>336</v>
      </c>
      <c r="J34" s="120">
        <v>908033.58</v>
      </c>
    </row>
    <row r="35" spans="4:12" x14ac:dyDescent="0.3">
      <c r="D35" s="118">
        <v>1</v>
      </c>
      <c r="E35" s="119" t="s">
        <v>36</v>
      </c>
      <c r="F35" s="119" t="s">
        <v>87</v>
      </c>
      <c r="G35" s="119" t="s">
        <v>108</v>
      </c>
      <c r="H35" s="118" t="s">
        <v>122</v>
      </c>
      <c r="I35" s="169" t="s">
        <v>336</v>
      </c>
      <c r="J35" s="120">
        <v>950657.62</v>
      </c>
    </row>
    <row r="36" spans="4:12" x14ac:dyDescent="0.3">
      <c r="D36" s="118">
        <v>1</v>
      </c>
      <c r="E36" s="119" t="s">
        <v>41</v>
      </c>
      <c r="F36" s="119" t="s">
        <v>130</v>
      </c>
      <c r="G36" s="119" t="s">
        <v>113</v>
      </c>
      <c r="H36" s="118" t="s">
        <v>120</v>
      </c>
      <c r="I36" s="169" t="s">
        <v>336</v>
      </c>
      <c r="J36" s="120">
        <v>950664.72</v>
      </c>
    </row>
    <row r="37" spans="4:12" x14ac:dyDescent="0.3">
      <c r="D37" s="118">
        <v>1</v>
      </c>
      <c r="E37" s="119" t="s">
        <v>68</v>
      </c>
      <c r="F37" s="119" t="s">
        <v>337</v>
      </c>
      <c r="G37" s="119" t="s">
        <v>340</v>
      </c>
      <c r="H37" s="118" t="s">
        <v>249</v>
      </c>
      <c r="I37" s="169" t="s">
        <v>336</v>
      </c>
      <c r="J37" s="120">
        <v>1500000</v>
      </c>
    </row>
    <row r="38" spans="4:12" x14ac:dyDescent="0.3">
      <c r="D38" s="118">
        <v>1</v>
      </c>
      <c r="E38" s="119" t="s">
        <v>8</v>
      </c>
      <c r="F38" s="119" t="s">
        <v>338</v>
      </c>
      <c r="G38" s="119" t="s">
        <v>340</v>
      </c>
      <c r="H38" s="118" t="s">
        <v>250</v>
      </c>
      <c r="I38" s="169" t="s">
        <v>336</v>
      </c>
      <c r="J38" s="120">
        <v>1500000</v>
      </c>
    </row>
    <row r="39" spans="4:12" x14ac:dyDescent="0.3">
      <c r="D39" s="118">
        <v>1</v>
      </c>
      <c r="E39" s="119" t="s">
        <v>242</v>
      </c>
      <c r="F39" s="119" t="s">
        <v>339</v>
      </c>
      <c r="G39" s="119" t="s">
        <v>341</v>
      </c>
      <c r="H39" s="118" t="s">
        <v>251</v>
      </c>
      <c r="I39" s="169" t="s">
        <v>336</v>
      </c>
      <c r="J39" s="120">
        <v>1000000</v>
      </c>
      <c r="K39" s="72"/>
      <c r="L39" s="72"/>
    </row>
    <row r="40" spans="4:12" s="121" customFormat="1" ht="14.4" customHeight="1" x14ac:dyDescent="0.3">
      <c r="H40" s="71"/>
      <c r="I40" s="122" t="s">
        <v>131</v>
      </c>
      <c r="J40" s="123">
        <f>SUBTOTAL(109,J29:J39)</f>
        <v>12974998.510000002</v>
      </c>
    </row>
    <row r="41" spans="4:12" s="121" customFormat="1" ht="17.399999999999999" customHeight="1" x14ac:dyDescent="0.3">
      <c r="D41" s="71"/>
      <c r="E41" s="147"/>
      <c r="F41" s="147"/>
      <c r="G41" s="147"/>
      <c r="H41" s="71"/>
      <c r="I41" s="71"/>
      <c r="J41" s="148"/>
    </row>
    <row r="43" spans="4:12" ht="15" x14ac:dyDescent="0.3">
      <c r="D43" s="142" t="s">
        <v>174</v>
      </c>
    </row>
    <row r="44" spans="4:12" ht="1.8" customHeight="1" thickBot="1" x14ac:dyDescent="0.35"/>
    <row r="45" spans="4:12" ht="15" thickBot="1" x14ac:dyDescent="0.35">
      <c r="D45" s="128" t="s">
        <v>162</v>
      </c>
      <c r="E45" s="129" t="s">
        <v>1</v>
      </c>
      <c r="F45" s="129" t="s">
        <v>2</v>
      </c>
      <c r="G45" s="129" t="s">
        <v>102</v>
      </c>
      <c r="H45" s="129" t="s">
        <v>103</v>
      </c>
      <c r="I45" s="129" t="s">
        <v>334</v>
      </c>
      <c r="J45" s="130" t="s">
        <v>82</v>
      </c>
    </row>
    <row r="46" spans="4:12" x14ac:dyDescent="0.3">
      <c r="D46" s="118">
        <v>2</v>
      </c>
      <c r="E46" s="119" t="s">
        <v>15</v>
      </c>
      <c r="F46" s="119" t="s">
        <v>85</v>
      </c>
      <c r="G46" s="119" t="s">
        <v>106</v>
      </c>
      <c r="H46" s="118" t="s">
        <v>118</v>
      </c>
      <c r="I46" s="169" t="s">
        <v>336</v>
      </c>
      <c r="J46" s="120">
        <v>175308.48</v>
      </c>
    </row>
    <row r="47" spans="4:12" s="171" customFormat="1" ht="14.4" customHeight="1" x14ac:dyDescent="0.3">
      <c r="D47" s="170">
        <v>2</v>
      </c>
      <c r="E47" s="150" t="s">
        <v>25</v>
      </c>
      <c r="F47" s="150" t="s">
        <v>60</v>
      </c>
      <c r="G47" s="150" t="s">
        <v>109</v>
      </c>
      <c r="H47" s="170" t="s">
        <v>114</v>
      </c>
      <c r="I47" s="169" t="s">
        <v>336</v>
      </c>
      <c r="J47" s="172">
        <v>1999962.2</v>
      </c>
    </row>
    <row r="48" spans="4:12" x14ac:dyDescent="0.3">
      <c r="D48" s="118">
        <v>2</v>
      </c>
      <c r="E48" s="197" t="s">
        <v>67</v>
      </c>
      <c r="F48" s="119" t="s">
        <v>88</v>
      </c>
      <c r="G48" s="119" t="s">
        <v>127</v>
      </c>
      <c r="H48" s="118" t="s">
        <v>124</v>
      </c>
      <c r="I48" s="169" t="s">
        <v>336</v>
      </c>
      <c r="J48" s="120">
        <v>3416482.25</v>
      </c>
    </row>
    <row r="49" spans="4:11" x14ac:dyDescent="0.3">
      <c r="D49" s="118">
        <v>2</v>
      </c>
      <c r="E49" s="197" t="s">
        <v>30</v>
      </c>
      <c r="F49" s="119" t="s">
        <v>89</v>
      </c>
      <c r="G49" s="119" t="s">
        <v>129</v>
      </c>
      <c r="H49" s="118" t="s">
        <v>126</v>
      </c>
      <c r="I49" s="169" t="s">
        <v>336</v>
      </c>
      <c r="J49" s="120">
        <v>1048606.3500000001</v>
      </c>
    </row>
    <row r="50" spans="4:11" x14ac:dyDescent="0.3">
      <c r="D50" s="118">
        <v>2</v>
      </c>
      <c r="E50" s="119" t="s">
        <v>13</v>
      </c>
      <c r="F50" s="119" t="s">
        <v>169</v>
      </c>
      <c r="G50" s="119" t="s">
        <v>137</v>
      </c>
      <c r="H50" s="118" t="s">
        <v>136</v>
      </c>
      <c r="I50" s="169" t="s">
        <v>336</v>
      </c>
      <c r="J50" s="120">
        <v>1320816.46</v>
      </c>
    </row>
    <row r="51" spans="4:11" x14ac:dyDescent="0.3">
      <c r="D51" s="118">
        <v>2</v>
      </c>
      <c r="E51" s="119" t="s">
        <v>78</v>
      </c>
      <c r="F51" s="119" t="s">
        <v>133</v>
      </c>
      <c r="G51" s="119" t="s">
        <v>142</v>
      </c>
      <c r="H51" s="118" t="s">
        <v>170</v>
      </c>
      <c r="I51" s="169" t="s">
        <v>336</v>
      </c>
      <c r="J51" s="120">
        <v>3000000</v>
      </c>
    </row>
    <row r="52" spans="4:11" x14ac:dyDescent="0.3">
      <c r="D52" s="118">
        <v>2</v>
      </c>
      <c r="E52" s="119" t="s">
        <v>4</v>
      </c>
      <c r="F52" s="119" t="s">
        <v>93</v>
      </c>
      <c r="G52" s="119" t="s">
        <v>104</v>
      </c>
      <c r="H52" s="118" t="s">
        <v>144</v>
      </c>
      <c r="I52" s="169" t="s">
        <v>336</v>
      </c>
      <c r="J52" s="120">
        <v>6464841.9500000002</v>
      </c>
    </row>
    <row r="53" spans="4:11" x14ac:dyDescent="0.3">
      <c r="D53" s="118">
        <v>2</v>
      </c>
      <c r="E53" s="119" t="s">
        <v>134</v>
      </c>
      <c r="F53" s="119" t="s">
        <v>135</v>
      </c>
      <c r="G53" s="119" t="s">
        <v>141</v>
      </c>
      <c r="H53" s="118" t="s">
        <v>140</v>
      </c>
      <c r="I53" s="169" t="s">
        <v>336</v>
      </c>
      <c r="J53" s="120">
        <v>993476.82</v>
      </c>
    </row>
    <row r="54" spans="4:11" x14ac:dyDescent="0.3">
      <c r="D54" s="118">
        <v>2</v>
      </c>
      <c r="E54" s="119" t="s">
        <v>155</v>
      </c>
      <c r="F54" s="119" t="s">
        <v>158</v>
      </c>
      <c r="G54" s="119" t="s">
        <v>104</v>
      </c>
      <c r="H54" s="118" t="s">
        <v>99</v>
      </c>
      <c r="I54" s="118" t="s">
        <v>342</v>
      </c>
      <c r="J54" s="120">
        <v>1000000</v>
      </c>
    </row>
    <row r="55" spans="4:11" x14ac:dyDescent="0.3">
      <c r="D55" s="118">
        <v>2</v>
      </c>
      <c r="E55" s="119" t="s">
        <v>156</v>
      </c>
      <c r="F55" s="119" t="s">
        <v>160</v>
      </c>
      <c r="G55" s="119" t="s">
        <v>104</v>
      </c>
      <c r="H55" s="118" t="s">
        <v>99</v>
      </c>
      <c r="I55" s="118" t="s">
        <v>342</v>
      </c>
      <c r="J55" s="120">
        <v>800000</v>
      </c>
    </row>
    <row r="56" spans="4:11" x14ac:dyDescent="0.3">
      <c r="D56" s="118">
        <v>2</v>
      </c>
      <c r="E56" s="119" t="s">
        <v>37</v>
      </c>
      <c r="F56" s="119" t="s">
        <v>98</v>
      </c>
      <c r="G56" s="119" t="s">
        <v>104</v>
      </c>
      <c r="H56" s="118" t="s">
        <v>99</v>
      </c>
      <c r="I56" s="118" t="s">
        <v>342</v>
      </c>
      <c r="J56" s="120">
        <v>1000000</v>
      </c>
    </row>
    <row r="57" spans="4:11" s="121" customFormat="1" ht="14.4" customHeight="1" x14ac:dyDescent="0.3">
      <c r="H57" s="71"/>
      <c r="I57" s="122" t="s">
        <v>131</v>
      </c>
      <c r="J57" s="123">
        <f>SUBTOTAL(109,J46:J56)</f>
        <v>21219494.509999998</v>
      </c>
    </row>
    <row r="58" spans="4:11" s="121" customFormat="1" ht="17.399999999999999" customHeight="1" x14ac:dyDescent="0.3">
      <c r="H58" s="145"/>
      <c r="I58" s="145"/>
      <c r="J58" s="146"/>
    </row>
    <row r="60" spans="4:11" ht="15" x14ac:dyDescent="0.3">
      <c r="D60" s="141" t="s">
        <v>176</v>
      </c>
      <c r="E60" s="131"/>
      <c r="F60" s="131"/>
      <c r="G60" s="131"/>
      <c r="H60" s="131"/>
      <c r="I60" s="131"/>
      <c r="J60" s="131"/>
      <c r="K60" s="131"/>
    </row>
    <row r="61" spans="4:11" ht="1.8" customHeight="1" thickBot="1" x14ac:dyDescent="0.35">
      <c r="D61" s="131"/>
      <c r="E61" s="131"/>
      <c r="F61" s="131"/>
      <c r="G61" s="131"/>
      <c r="H61" s="131"/>
      <c r="I61" s="131"/>
      <c r="J61" s="131"/>
      <c r="K61" s="131"/>
    </row>
    <row r="62" spans="4:11" ht="15.6" thickBot="1" x14ac:dyDescent="0.35">
      <c r="D62" s="132" t="s">
        <v>177</v>
      </c>
      <c r="E62" s="133" t="s">
        <v>178</v>
      </c>
      <c r="F62" s="133" t="s">
        <v>179</v>
      </c>
      <c r="G62" s="133" t="s">
        <v>102</v>
      </c>
      <c r="H62" s="133" t="s">
        <v>103</v>
      </c>
      <c r="I62" s="129" t="s">
        <v>334</v>
      </c>
      <c r="J62" s="134" t="s">
        <v>180</v>
      </c>
    </row>
    <row r="63" spans="4:11" x14ac:dyDescent="0.3">
      <c r="D63" s="135">
        <v>1</v>
      </c>
      <c r="E63" s="136" t="s">
        <v>187</v>
      </c>
      <c r="F63" s="135" t="s">
        <v>181</v>
      </c>
      <c r="G63" s="136" t="s">
        <v>189</v>
      </c>
      <c r="H63" s="135" t="s">
        <v>188</v>
      </c>
      <c r="I63" s="173" t="s">
        <v>343</v>
      </c>
      <c r="J63" s="137">
        <v>561100</v>
      </c>
    </row>
    <row r="64" spans="4:11" x14ac:dyDescent="0.3">
      <c r="D64" s="135">
        <v>1</v>
      </c>
      <c r="E64" s="136" t="s">
        <v>194</v>
      </c>
      <c r="F64" s="135" t="s">
        <v>195</v>
      </c>
      <c r="G64" s="136" t="s">
        <v>197</v>
      </c>
      <c r="H64" s="135" t="s">
        <v>196</v>
      </c>
      <c r="I64" s="173" t="s">
        <v>343</v>
      </c>
      <c r="J64" s="137">
        <v>786000</v>
      </c>
    </row>
    <row r="65" spans="4:10" x14ac:dyDescent="0.3">
      <c r="D65" s="135">
        <v>1</v>
      </c>
      <c r="E65" s="136" t="s">
        <v>155</v>
      </c>
      <c r="F65" s="135" t="s">
        <v>200</v>
      </c>
      <c r="G65" s="136" t="s">
        <v>202</v>
      </c>
      <c r="H65" s="135" t="s">
        <v>201</v>
      </c>
      <c r="I65" s="173" t="s">
        <v>343</v>
      </c>
      <c r="J65" s="137">
        <v>934000</v>
      </c>
    </row>
    <row r="66" spans="4:10" x14ac:dyDescent="0.3">
      <c r="D66" s="135">
        <v>1</v>
      </c>
      <c r="E66" s="136" t="s">
        <v>36</v>
      </c>
      <c r="F66" s="135" t="s">
        <v>191</v>
      </c>
      <c r="G66" s="136" t="s">
        <v>210</v>
      </c>
      <c r="H66" s="135" t="s">
        <v>209</v>
      </c>
      <c r="I66" s="173" t="s">
        <v>343</v>
      </c>
      <c r="J66" s="137">
        <v>502200</v>
      </c>
    </row>
    <row r="67" spans="4:10" x14ac:dyDescent="0.3">
      <c r="D67" s="135">
        <v>1</v>
      </c>
      <c r="E67" s="136" t="s">
        <v>213</v>
      </c>
      <c r="F67" s="135" t="s">
        <v>181</v>
      </c>
      <c r="G67" s="136" t="s">
        <v>215</v>
      </c>
      <c r="H67" s="135" t="s">
        <v>214</v>
      </c>
      <c r="I67" s="173" t="s">
        <v>343</v>
      </c>
      <c r="J67" s="137">
        <v>498000</v>
      </c>
    </row>
    <row r="68" spans="4:10" x14ac:dyDescent="0.3">
      <c r="D68" s="135">
        <v>1</v>
      </c>
      <c r="E68" s="136" t="s">
        <v>216</v>
      </c>
      <c r="F68" s="135" t="s">
        <v>181</v>
      </c>
      <c r="G68" s="136" t="s">
        <v>218</v>
      </c>
      <c r="H68" s="135" t="s">
        <v>217</v>
      </c>
      <c r="I68" s="173" t="s">
        <v>343</v>
      </c>
      <c r="J68" s="137">
        <v>2317720</v>
      </c>
    </row>
    <row r="69" spans="4:10" x14ac:dyDescent="0.3">
      <c r="D69" s="135">
        <v>1</v>
      </c>
      <c r="E69" s="159" t="s">
        <v>10</v>
      </c>
      <c r="F69" s="135" t="s">
        <v>181</v>
      </c>
      <c r="G69" s="136" t="s">
        <v>327</v>
      </c>
      <c r="H69" s="118" t="s">
        <v>324</v>
      </c>
      <c r="I69" s="173" t="s">
        <v>343</v>
      </c>
      <c r="J69" s="137">
        <v>200000</v>
      </c>
    </row>
    <row r="70" spans="4:10" x14ac:dyDescent="0.3">
      <c r="D70" s="135">
        <v>1</v>
      </c>
      <c r="E70" s="136" t="s">
        <v>221</v>
      </c>
      <c r="F70" s="135" t="s">
        <v>181</v>
      </c>
      <c r="G70" s="136" t="s">
        <v>223</v>
      </c>
      <c r="H70" s="135" t="s">
        <v>222</v>
      </c>
      <c r="I70" s="173" t="s">
        <v>343</v>
      </c>
      <c r="J70" s="137">
        <v>1187953.73</v>
      </c>
    </row>
    <row r="71" spans="4:10" x14ac:dyDescent="0.3">
      <c r="D71" s="135">
        <v>1</v>
      </c>
      <c r="E71" s="136" t="s">
        <v>35</v>
      </c>
      <c r="F71" s="135" t="s">
        <v>181</v>
      </c>
      <c r="G71" s="136" t="s">
        <v>199</v>
      </c>
      <c r="H71" s="135" t="s">
        <v>198</v>
      </c>
      <c r="I71" s="135" t="s">
        <v>349</v>
      </c>
      <c r="J71" s="137">
        <v>444316.1</v>
      </c>
    </row>
    <row r="72" spans="4:10" x14ac:dyDescent="0.3">
      <c r="D72" s="135">
        <v>1</v>
      </c>
      <c r="E72" s="136" t="s">
        <v>8</v>
      </c>
      <c r="F72" s="135" t="s">
        <v>181</v>
      </c>
      <c r="G72" s="136" t="s">
        <v>183</v>
      </c>
      <c r="H72" s="135" t="s">
        <v>182</v>
      </c>
      <c r="I72" s="135" t="s">
        <v>349</v>
      </c>
      <c r="J72" s="137">
        <v>1243971.5</v>
      </c>
    </row>
    <row r="73" spans="4:10" x14ac:dyDescent="0.3">
      <c r="D73" s="135">
        <v>1</v>
      </c>
      <c r="E73" s="136" t="s">
        <v>184</v>
      </c>
      <c r="F73" s="160" t="s">
        <v>181</v>
      </c>
      <c r="G73" s="136" t="s">
        <v>186</v>
      </c>
      <c r="H73" s="135" t="s">
        <v>185</v>
      </c>
      <c r="I73" s="135" t="s">
        <v>349</v>
      </c>
      <c r="J73" s="137">
        <v>1042447.89</v>
      </c>
    </row>
    <row r="74" spans="4:10" x14ac:dyDescent="0.3">
      <c r="D74" s="135">
        <v>1</v>
      </c>
      <c r="E74" s="136" t="s">
        <v>190</v>
      </c>
      <c r="F74" s="135" t="s">
        <v>191</v>
      </c>
      <c r="G74" s="136" t="s">
        <v>193</v>
      </c>
      <c r="H74" s="135" t="s">
        <v>192</v>
      </c>
      <c r="I74" s="135" t="s">
        <v>349</v>
      </c>
      <c r="J74" s="137">
        <v>490400</v>
      </c>
    </row>
    <row r="75" spans="4:10" x14ac:dyDescent="0.3">
      <c r="D75" s="135">
        <v>1</v>
      </c>
      <c r="E75" s="136" t="s">
        <v>203</v>
      </c>
      <c r="F75" s="135" t="s">
        <v>181</v>
      </c>
      <c r="G75" s="136" t="s">
        <v>205</v>
      </c>
      <c r="H75" s="135" t="s">
        <v>204</v>
      </c>
      <c r="I75" s="135" t="s">
        <v>349</v>
      </c>
      <c r="J75" s="137">
        <v>650000.72</v>
      </c>
    </row>
    <row r="76" spans="4:10" x14ac:dyDescent="0.3">
      <c r="D76" s="135">
        <v>1</v>
      </c>
      <c r="E76" s="136" t="s">
        <v>206</v>
      </c>
      <c r="F76" s="163" t="s">
        <v>181</v>
      </c>
      <c r="G76" s="136" t="s">
        <v>208</v>
      </c>
      <c r="H76" s="135" t="s">
        <v>207</v>
      </c>
      <c r="I76" s="135" t="s">
        <v>349</v>
      </c>
      <c r="J76" s="137">
        <v>327811.46999999997</v>
      </c>
    </row>
    <row r="77" spans="4:10" x14ac:dyDescent="0.3">
      <c r="D77" s="135">
        <v>1</v>
      </c>
      <c r="E77" s="136" t="s">
        <v>211</v>
      </c>
      <c r="F77" s="135" t="s">
        <v>181</v>
      </c>
      <c r="G77" s="136" t="s">
        <v>212</v>
      </c>
      <c r="H77" s="135" t="s">
        <v>185</v>
      </c>
      <c r="I77" s="135" t="s">
        <v>349</v>
      </c>
      <c r="J77" s="137">
        <v>750848.62</v>
      </c>
    </row>
    <row r="78" spans="4:10" x14ac:dyDescent="0.3">
      <c r="D78" s="135">
        <v>1</v>
      </c>
      <c r="E78" s="136" t="s">
        <v>219</v>
      </c>
      <c r="F78" s="135" t="s">
        <v>191</v>
      </c>
      <c r="G78" s="136" t="s">
        <v>193</v>
      </c>
      <c r="H78" s="135" t="s">
        <v>220</v>
      </c>
      <c r="I78" s="135" t="s">
        <v>349</v>
      </c>
      <c r="J78" s="137">
        <v>497199.96</v>
      </c>
    </row>
    <row r="79" spans="4:10" ht="15.6" x14ac:dyDescent="0.3">
      <c r="D79" s="138"/>
      <c r="E79" s="138"/>
      <c r="F79" s="138"/>
      <c r="G79" s="138"/>
      <c r="I79" s="122" t="s">
        <v>131</v>
      </c>
      <c r="J79" s="123">
        <f>SUM(J63:J78)</f>
        <v>12433969.990000002</v>
      </c>
    </row>
    <row r="80" spans="4:10" ht="15.6" x14ac:dyDescent="0.3">
      <c r="D80" s="138"/>
      <c r="E80" s="138"/>
      <c r="F80" s="138"/>
      <c r="G80" s="138"/>
      <c r="H80" s="145"/>
      <c r="I80" s="145"/>
      <c r="J80" s="146"/>
    </row>
    <row r="81" spans="4:11" ht="15" x14ac:dyDescent="0.3">
      <c r="D81" s="188" t="s">
        <v>224</v>
      </c>
      <c r="E81" s="138"/>
      <c r="F81" s="138"/>
      <c r="G81" s="138"/>
      <c r="H81" s="138"/>
      <c r="I81" s="138"/>
      <c r="J81" s="139"/>
      <c r="K81" s="140"/>
    </row>
    <row r="82" spans="4:11" ht="2.4" customHeight="1" thickBot="1" x14ac:dyDescent="0.35">
      <c r="D82" s="138"/>
      <c r="E82" s="138"/>
      <c r="F82" s="138"/>
      <c r="G82" s="138"/>
      <c r="H82" s="138"/>
      <c r="I82" s="138"/>
      <c r="J82" s="139"/>
      <c r="K82" s="140"/>
    </row>
    <row r="83" spans="4:11" ht="15.6" thickBot="1" x14ac:dyDescent="0.35">
      <c r="D83" s="191" t="s">
        <v>177</v>
      </c>
      <c r="E83" s="191" t="s">
        <v>178</v>
      </c>
      <c r="F83" s="191" t="s">
        <v>179</v>
      </c>
      <c r="G83" s="191" t="s">
        <v>102</v>
      </c>
      <c r="H83" s="191" t="s">
        <v>321</v>
      </c>
      <c r="I83" s="192" t="s">
        <v>334</v>
      </c>
      <c r="J83" s="193" t="s">
        <v>180</v>
      </c>
    </row>
    <row r="84" spans="4:11" x14ac:dyDescent="0.3">
      <c r="D84" s="160">
        <v>2</v>
      </c>
      <c r="E84" s="189" t="s">
        <v>225</v>
      </c>
      <c r="F84" s="160"/>
      <c r="G84" s="190" t="s">
        <v>225</v>
      </c>
      <c r="H84" s="125"/>
      <c r="I84" s="125"/>
      <c r="J84" s="162">
        <v>3000000</v>
      </c>
    </row>
    <row r="85" spans="4:11" x14ac:dyDescent="0.3">
      <c r="D85" s="135">
        <v>2</v>
      </c>
      <c r="E85" s="158" t="s">
        <v>225</v>
      </c>
      <c r="F85" s="135"/>
      <c r="G85" s="159" t="s">
        <v>225</v>
      </c>
      <c r="H85" s="118"/>
      <c r="I85" s="170"/>
      <c r="J85" s="137">
        <v>1500000</v>
      </c>
    </row>
    <row r="86" spans="4:11" x14ac:dyDescent="0.3">
      <c r="D86" s="135">
        <v>2</v>
      </c>
      <c r="E86" s="158" t="s">
        <v>149</v>
      </c>
      <c r="F86" s="135"/>
      <c r="G86" s="136" t="s">
        <v>226</v>
      </c>
      <c r="H86" s="118"/>
      <c r="I86" s="170"/>
      <c r="J86" s="137">
        <v>2000000</v>
      </c>
    </row>
    <row r="87" spans="4:11" ht="28.8" customHeight="1" x14ac:dyDescent="0.3">
      <c r="D87" s="135">
        <v>2</v>
      </c>
      <c r="E87" s="158" t="s">
        <v>227</v>
      </c>
      <c r="F87" s="135"/>
      <c r="G87" s="144" t="s">
        <v>228</v>
      </c>
      <c r="H87" s="118"/>
      <c r="I87" s="170"/>
      <c r="J87" s="137">
        <v>309062.51</v>
      </c>
    </row>
    <row r="88" spans="4:11" x14ac:dyDescent="0.3">
      <c r="D88" s="135">
        <v>2</v>
      </c>
      <c r="E88" s="158" t="s">
        <v>229</v>
      </c>
      <c r="F88" s="135"/>
      <c r="G88" s="136" t="s">
        <v>230</v>
      </c>
      <c r="H88" s="118"/>
      <c r="I88" s="170"/>
      <c r="J88" s="137">
        <v>493450</v>
      </c>
    </row>
    <row r="89" spans="4:11" x14ac:dyDescent="0.3">
      <c r="D89" s="135">
        <v>2</v>
      </c>
      <c r="E89" s="158" t="s">
        <v>229</v>
      </c>
      <c r="F89" s="135"/>
      <c r="G89" s="136" t="s">
        <v>231</v>
      </c>
      <c r="H89" s="118"/>
      <c r="I89" s="170"/>
      <c r="J89" s="137">
        <v>993850</v>
      </c>
    </row>
    <row r="90" spans="4:11" ht="28.8" x14ac:dyDescent="0.3">
      <c r="D90" s="135">
        <v>2</v>
      </c>
      <c r="E90" s="158" t="s">
        <v>232</v>
      </c>
      <c r="F90" s="135"/>
      <c r="G90" s="144" t="s">
        <v>233</v>
      </c>
      <c r="H90" s="118"/>
      <c r="I90" s="170" t="s">
        <v>344</v>
      </c>
      <c r="J90" s="137">
        <v>415000</v>
      </c>
    </row>
    <row r="91" spans="4:11" x14ac:dyDescent="0.3">
      <c r="D91" s="135">
        <v>2</v>
      </c>
      <c r="E91" s="158" t="s">
        <v>13</v>
      </c>
      <c r="F91" s="135"/>
      <c r="G91" s="136" t="s">
        <v>234</v>
      </c>
      <c r="H91" s="118"/>
      <c r="I91" s="170" t="s">
        <v>344</v>
      </c>
      <c r="J91" s="137">
        <v>276670.96999999997</v>
      </c>
    </row>
    <row r="92" spans="4:11" x14ac:dyDescent="0.3">
      <c r="D92" s="135">
        <v>2</v>
      </c>
      <c r="E92" s="158" t="s">
        <v>225</v>
      </c>
      <c r="F92" s="135"/>
      <c r="G92" s="136" t="s">
        <v>235</v>
      </c>
      <c r="H92" s="118"/>
      <c r="I92" s="170"/>
      <c r="J92" s="137">
        <v>3000000</v>
      </c>
    </row>
    <row r="93" spans="4:11" ht="27" customHeight="1" thickBot="1" x14ac:dyDescent="0.35">
      <c r="D93" s="135">
        <v>2</v>
      </c>
      <c r="E93" s="158" t="s">
        <v>4</v>
      </c>
      <c r="F93" s="135"/>
      <c r="G93" s="144" t="s">
        <v>236</v>
      </c>
      <c r="H93" s="118"/>
      <c r="I93" s="194" t="s">
        <v>345</v>
      </c>
      <c r="J93" s="182">
        <v>3500000</v>
      </c>
    </row>
    <row r="94" spans="4:11" ht="14.4" customHeight="1" thickBot="1" x14ac:dyDescent="0.35">
      <c r="D94" s="131"/>
      <c r="E94" s="131"/>
      <c r="F94" s="131"/>
      <c r="G94" s="131"/>
      <c r="I94" s="195" t="s">
        <v>131</v>
      </c>
      <c r="J94" s="196">
        <f>SUM(J84:J93)</f>
        <v>15488033.48</v>
      </c>
    </row>
    <row r="96" spans="4:11" ht="22.2" customHeight="1" x14ac:dyDescent="0.3">
      <c r="D96" s="157" t="s">
        <v>323</v>
      </c>
      <c r="E96" s="131"/>
      <c r="F96" s="131"/>
      <c r="G96" s="131"/>
      <c r="H96" s="131"/>
      <c r="I96" s="131"/>
      <c r="J96" s="131"/>
      <c r="K96" s="131"/>
    </row>
    <row r="97" spans="4:11" ht="3.6" customHeight="1" thickBot="1" x14ac:dyDescent="0.35">
      <c r="D97" s="131"/>
      <c r="E97" s="131"/>
      <c r="F97" s="131"/>
      <c r="G97" s="131"/>
      <c r="H97" s="131"/>
      <c r="I97" s="131"/>
      <c r="J97" s="131"/>
      <c r="K97" s="131"/>
    </row>
    <row r="98" spans="4:11" ht="15.6" thickBot="1" x14ac:dyDescent="0.35">
      <c r="D98" s="132" t="s">
        <v>177</v>
      </c>
      <c r="E98" s="133" t="s">
        <v>178</v>
      </c>
      <c r="F98" s="133" t="s">
        <v>179</v>
      </c>
      <c r="G98" s="133" t="s">
        <v>102</v>
      </c>
      <c r="H98" s="133" t="s">
        <v>103</v>
      </c>
      <c r="I98" s="167" t="s">
        <v>334</v>
      </c>
      <c r="J98" s="152" t="s">
        <v>180</v>
      </c>
    </row>
    <row r="99" spans="4:11" x14ac:dyDescent="0.3">
      <c r="D99" s="160">
        <v>3</v>
      </c>
      <c r="E99" s="160" t="s">
        <v>6</v>
      </c>
      <c r="F99" s="160" t="s">
        <v>191</v>
      </c>
      <c r="G99" s="161" t="s">
        <v>193</v>
      </c>
      <c r="H99" s="160" t="s">
        <v>192</v>
      </c>
      <c r="I99" s="169" t="s">
        <v>348</v>
      </c>
      <c r="J99" s="162">
        <v>496705.87</v>
      </c>
    </row>
    <row r="100" spans="4:11" x14ac:dyDescent="0.3">
      <c r="D100" s="160">
        <v>3</v>
      </c>
      <c r="E100" s="135" t="s">
        <v>252</v>
      </c>
      <c r="F100" s="135" t="s">
        <v>181</v>
      </c>
      <c r="G100" s="136" t="s">
        <v>254</v>
      </c>
      <c r="H100" s="160" t="s">
        <v>253</v>
      </c>
      <c r="I100" s="169" t="s">
        <v>348</v>
      </c>
      <c r="J100" s="137">
        <v>933365</v>
      </c>
    </row>
    <row r="101" spans="4:11" x14ac:dyDescent="0.3">
      <c r="D101" s="160">
        <v>3</v>
      </c>
      <c r="E101" s="135" t="s">
        <v>325</v>
      </c>
      <c r="F101" s="135" t="s">
        <v>274</v>
      </c>
      <c r="G101" s="136" t="s">
        <v>326</v>
      </c>
      <c r="H101" s="160">
        <v>0</v>
      </c>
      <c r="I101" s="169" t="s">
        <v>348</v>
      </c>
      <c r="J101" s="137">
        <v>150000</v>
      </c>
    </row>
    <row r="102" spans="4:11" x14ac:dyDescent="0.3">
      <c r="D102" s="160">
        <v>3</v>
      </c>
      <c r="E102" s="135" t="s">
        <v>194</v>
      </c>
      <c r="F102" s="163" t="s">
        <v>181</v>
      </c>
      <c r="G102" s="136" t="s">
        <v>257</v>
      </c>
      <c r="H102" s="160" t="s">
        <v>256</v>
      </c>
      <c r="I102" s="169" t="s">
        <v>348</v>
      </c>
      <c r="J102" s="137">
        <v>878808.24</v>
      </c>
    </row>
    <row r="103" spans="4:11" x14ac:dyDescent="0.3">
      <c r="D103" s="160">
        <v>3</v>
      </c>
      <c r="E103" s="135" t="s">
        <v>258</v>
      </c>
      <c r="F103" s="135" t="s">
        <v>181</v>
      </c>
      <c r="G103" s="136" t="s">
        <v>257</v>
      </c>
      <c r="H103" s="160" t="s">
        <v>259</v>
      </c>
      <c r="I103" s="169" t="s">
        <v>348</v>
      </c>
      <c r="J103" s="137">
        <v>829718.98</v>
      </c>
    </row>
    <row r="104" spans="4:11" x14ac:dyDescent="0.3">
      <c r="D104" s="160">
        <v>3</v>
      </c>
      <c r="E104" s="135" t="s">
        <v>309</v>
      </c>
      <c r="F104" s="135" t="s">
        <v>328</v>
      </c>
      <c r="G104" s="136" t="s">
        <v>329</v>
      </c>
      <c r="H104" s="160" t="s">
        <v>330</v>
      </c>
      <c r="I104" s="169" t="s">
        <v>348</v>
      </c>
      <c r="J104" s="137">
        <v>1618242.16</v>
      </c>
    </row>
    <row r="105" spans="4:11" x14ac:dyDescent="0.3">
      <c r="D105" s="160">
        <v>3</v>
      </c>
      <c r="E105" s="135" t="s">
        <v>260</v>
      </c>
      <c r="F105" s="135" t="s">
        <v>181</v>
      </c>
      <c r="G105" s="136" t="s">
        <v>262</v>
      </c>
      <c r="H105" s="160" t="s">
        <v>261</v>
      </c>
      <c r="I105" s="169" t="s">
        <v>348</v>
      </c>
      <c r="J105" s="137">
        <v>552987</v>
      </c>
    </row>
    <row r="106" spans="4:11" x14ac:dyDescent="0.3">
      <c r="D106" s="160">
        <v>3</v>
      </c>
      <c r="E106" s="135" t="s">
        <v>263</v>
      </c>
      <c r="F106" s="135" t="s">
        <v>191</v>
      </c>
      <c r="G106" s="136" t="s">
        <v>193</v>
      </c>
      <c r="H106" s="160" t="s">
        <v>192</v>
      </c>
      <c r="I106" s="169" t="s">
        <v>348</v>
      </c>
      <c r="J106" s="137">
        <v>496705.87</v>
      </c>
    </row>
    <row r="107" spans="4:11" x14ac:dyDescent="0.3">
      <c r="D107" s="153">
        <v>3</v>
      </c>
      <c r="E107" s="135" t="s">
        <v>290</v>
      </c>
      <c r="F107" s="135" t="s">
        <v>181</v>
      </c>
      <c r="G107" s="136" t="s">
        <v>292</v>
      </c>
      <c r="H107" s="153" t="s">
        <v>291</v>
      </c>
      <c r="I107" s="169" t="s">
        <v>348</v>
      </c>
      <c r="J107" s="137">
        <v>4543923.28</v>
      </c>
    </row>
    <row r="108" spans="4:11" x14ac:dyDescent="0.3">
      <c r="D108" s="165">
        <v>3</v>
      </c>
      <c r="E108" s="135" t="s">
        <v>23</v>
      </c>
      <c r="F108" s="135" t="s">
        <v>300</v>
      </c>
      <c r="G108" s="136" t="s">
        <v>331</v>
      </c>
      <c r="H108" s="165" t="s">
        <v>332</v>
      </c>
      <c r="I108" s="169" t="s">
        <v>348</v>
      </c>
      <c r="J108" s="137">
        <v>3328027.12</v>
      </c>
    </row>
    <row r="109" spans="4:11" x14ac:dyDescent="0.3">
      <c r="D109" s="160">
        <v>3</v>
      </c>
      <c r="E109" s="135" t="s">
        <v>264</v>
      </c>
      <c r="F109" s="135" t="s">
        <v>181</v>
      </c>
      <c r="G109" s="136" t="s">
        <v>266</v>
      </c>
      <c r="H109" s="160" t="s">
        <v>265</v>
      </c>
      <c r="I109" s="169" t="s">
        <v>348</v>
      </c>
      <c r="J109" s="137">
        <v>945208.63</v>
      </c>
    </row>
    <row r="110" spans="4:11" x14ac:dyDescent="0.3">
      <c r="D110" s="160">
        <v>3</v>
      </c>
      <c r="E110" s="135" t="s">
        <v>267</v>
      </c>
      <c r="F110" s="135" t="s">
        <v>181</v>
      </c>
      <c r="G110" s="136" t="s">
        <v>269</v>
      </c>
      <c r="H110" s="160" t="s">
        <v>268</v>
      </c>
      <c r="I110" s="169" t="s">
        <v>348</v>
      </c>
      <c r="J110" s="137">
        <v>603731.81999999995</v>
      </c>
    </row>
    <row r="111" spans="4:11" x14ac:dyDescent="0.3">
      <c r="D111" s="160">
        <v>3</v>
      </c>
      <c r="E111" s="135" t="s">
        <v>79</v>
      </c>
      <c r="F111" s="135" t="s">
        <v>181</v>
      </c>
      <c r="G111" s="136" t="s">
        <v>352</v>
      </c>
      <c r="H111" s="160" t="s">
        <v>333</v>
      </c>
      <c r="I111" s="169" t="s">
        <v>348</v>
      </c>
      <c r="J111" s="137">
        <v>726450</v>
      </c>
    </row>
    <row r="112" spans="4:11" x14ac:dyDescent="0.3">
      <c r="D112" s="160">
        <v>3</v>
      </c>
      <c r="E112" s="135" t="s">
        <v>270</v>
      </c>
      <c r="F112" s="160" t="s">
        <v>181</v>
      </c>
      <c r="G112" s="136" t="s">
        <v>272</v>
      </c>
      <c r="H112" s="160" t="s">
        <v>271</v>
      </c>
      <c r="I112" s="169" t="s">
        <v>348</v>
      </c>
      <c r="J112" s="137">
        <v>752115</v>
      </c>
    </row>
    <row r="113" spans="4:11" x14ac:dyDescent="0.3">
      <c r="D113" s="160">
        <v>3</v>
      </c>
      <c r="E113" s="135" t="s">
        <v>273</v>
      </c>
      <c r="F113" s="135" t="s">
        <v>274</v>
      </c>
      <c r="G113" s="136" t="s">
        <v>276</v>
      </c>
      <c r="H113" s="153" t="s">
        <v>275</v>
      </c>
      <c r="I113" s="169" t="s">
        <v>348</v>
      </c>
      <c r="J113" s="137">
        <v>800000</v>
      </c>
    </row>
    <row r="114" spans="4:11" x14ac:dyDescent="0.3">
      <c r="D114" s="160">
        <v>3</v>
      </c>
      <c r="E114" s="135" t="s">
        <v>279</v>
      </c>
      <c r="F114" s="135" t="s">
        <v>280</v>
      </c>
      <c r="G114" s="136" t="s">
        <v>281</v>
      </c>
      <c r="H114" s="153" t="s">
        <v>277</v>
      </c>
      <c r="I114" s="174" t="s">
        <v>351</v>
      </c>
      <c r="J114" s="137">
        <v>500000</v>
      </c>
    </row>
    <row r="115" spans="4:11" x14ac:dyDescent="0.3">
      <c r="D115" s="160">
        <v>3</v>
      </c>
      <c r="E115" s="135" t="s">
        <v>282</v>
      </c>
      <c r="F115" s="135" t="s">
        <v>283</v>
      </c>
      <c r="G115" s="136" t="s">
        <v>285</v>
      </c>
      <c r="H115" s="153" t="s">
        <v>284</v>
      </c>
      <c r="I115" s="174" t="s">
        <v>351</v>
      </c>
      <c r="J115" s="137">
        <v>244180</v>
      </c>
    </row>
    <row r="116" spans="4:11" ht="15.6" x14ac:dyDescent="0.3">
      <c r="D116" s="154"/>
      <c r="E116" s="155"/>
      <c r="F116" s="155"/>
      <c r="G116" s="155"/>
      <c r="I116" s="122" t="s">
        <v>131</v>
      </c>
      <c r="J116" s="123">
        <f>SUM(J99:J115)</f>
        <v>18400168.969999999</v>
      </c>
    </row>
    <row r="119" spans="4:11" ht="15.6" x14ac:dyDescent="0.3">
      <c r="D119" s="157" t="s">
        <v>322</v>
      </c>
      <c r="E119" s="138"/>
      <c r="F119" s="138"/>
      <c r="G119" s="138"/>
      <c r="H119" s="156"/>
      <c r="I119" s="156"/>
      <c r="J119" s="139"/>
      <c r="K119" s="140"/>
    </row>
    <row r="120" spans="4:11" ht="3" customHeight="1" thickBot="1" x14ac:dyDescent="0.35">
      <c r="D120" s="156"/>
      <c r="E120" s="138"/>
      <c r="F120" s="138"/>
      <c r="G120" s="138"/>
      <c r="H120" s="156"/>
      <c r="I120" s="156"/>
      <c r="J120" s="139"/>
      <c r="K120" s="140"/>
    </row>
    <row r="121" spans="4:11" ht="15.6" thickBot="1" x14ac:dyDescent="0.35">
      <c r="D121" s="132" t="s">
        <v>177</v>
      </c>
      <c r="E121" s="133" t="s">
        <v>178</v>
      </c>
      <c r="F121" s="133" t="s">
        <v>179</v>
      </c>
      <c r="G121" s="133" t="s">
        <v>102</v>
      </c>
      <c r="H121" s="133" t="s">
        <v>103</v>
      </c>
      <c r="I121" s="166" t="s">
        <v>334</v>
      </c>
      <c r="J121" s="134" t="s">
        <v>180</v>
      </c>
    </row>
    <row r="122" spans="4:11" x14ac:dyDescent="0.3">
      <c r="D122" s="153">
        <v>4</v>
      </c>
      <c r="E122" s="135" t="s">
        <v>293</v>
      </c>
      <c r="F122" s="135" t="s">
        <v>294</v>
      </c>
      <c r="G122" s="135" t="s">
        <v>193</v>
      </c>
      <c r="H122" s="153" t="s">
        <v>277</v>
      </c>
      <c r="I122" s="169" t="s">
        <v>350</v>
      </c>
      <c r="J122" s="137">
        <v>496705.87</v>
      </c>
    </row>
    <row r="123" spans="4:11" x14ac:dyDescent="0.3">
      <c r="D123" s="153">
        <v>4</v>
      </c>
      <c r="E123" s="135" t="s">
        <v>295</v>
      </c>
      <c r="F123" s="135" t="s">
        <v>181</v>
      </c>
      <c r="G123" s="135" t="s">
        <v>296</v>
      </c>
      <c r="H123" s="153" t="s">
        <v>277</v>
      </c>
      <c r="I123" s="169" t="s">
        <v>350</v>
      </c>
      <c r="J123" s="137">
        <v>700000</v>
      </c>
    </row>
    <row r="124" spans="4:11" x14ac:dyDescent="0.3">
      <c r="D124" s="135">
        <v>4</v>
      </c>
      <c r="E124" s="135" t="s">
        <v>11</v>
      </c>
      <c r="F124" s="135" t="s">
        <v>288</v>
      </c>
      <c r="G124" s="135" t="s">
        <v>289</v>
      </c>
      <c r="H124" s="153" t="s">
        <v>277</v>
      </c>
      <c r="I124" s="169" t="s">
        <v>350</v>
      </c>
      <c r="J124" s="137">
        <v>2000000</v>
      </c>
    </row>
    <row r="125" spans="4:11" x14ac:dyDescent="0.3">
      <c r="D125" s="153">
        <v>4</v>
      </c>
      <c r="E125" s="135" t="s">
        <v>297</v>
      </c>
      <c r="F125" s="135" t="s">
        <v>181</v>
      </c>
      <c r="G125" s="135" t="s">
        <v>298</v>
      </c>
      <c r="H125" s="153" t="s">
        <v>277</v>
      </c>
      <c r="I125" s="169" t="s">
        <v>350</v>
      </c>
      <c r="J125" s="137">
        <v>0</v>
      </c>
    </row>
    <row r="126" spans="4:11" x14ac:dyDescent="0.3">
      <c r="D126" s="153">
        <v>4</v>
      </c>
      <c r="E126" s="135" t="s">
        <v>299</v>
      </c>
      <c r="F126" s="135" t="s">
        <v>300</v>
      </c>
      <c r="G126" s="135" t="s">
        <v>301</v>
      </c>
      <c r="H126" s="153" t="s">
        <v>277</v>
      </c>
      <c r="I126" s="169" t="s">
        <v>350</v>
      </c>
      <c r="J126" s="137">
        <v>0</v>
      </c>
    </row>
    <row r="127" spans="4:11" x14ac:dyDescent="0.3">
      <c r="D127" s="153">
        <v>4</v>
      </c>
      <c r="E127" s="175" t="s">
        <v>13</v>
      </c>
      <c r="F127" s="135" t="s">
        <v>181</v>
      </c>
      <c r="G127" s="135" t="s">
        <v>296</v>
      </c>
      <c r="H127" s="153" t="s">
        <v>277</v>
      </c>
      <c r="I127" s="169" t="s">
        <v>350</v>
      </c>
      <c r="J127" s="137">
        <v>750000</v>
      </c>
    </row>
    <row r="128" spans="4:11" x14ac:dyDescent="0.3">
      <c r="D128" s="153">
        <v>4</v>
      </c>
      <c r="E128" s="175" t="s">
        <v>13</v>
      </c>
      <c r="F128" s="135" t="s">
        <v>280</v>
      </c>
      <c r="G128" s="135" t="s">
        <v>354</v>
      </c>
      <c r="H128" s="153" t="s">
        <v>277</v>
      </c>
      <c r="I128" s="169" t="s">
        <v>350</v>
      </c>
      <c r="J128" s="137">
        <v>750000</v>
      </c>
    </row>
    <row r="129" spans="4:10" x14ac:dyDescent="0.3">
      <c r="D129" s="153">
        <v>4</v>
      </c>
      <c r="E129" s="175" t="s">
        <v>13</v>
      </c>
      <c r="F129" s="135" t="s">
        <v>280</v>
      </c>
      <c r="G129" s="135" t="s">
        <v>353</v>
      </c>
      <c r="H129" s="153" t="s">
        <v>277</v>
      </c>
      <c r="I129" s="169" t="s">
        <v>350</v>
      </c>
      <c r="J129" s="137">
        <v>1500000</v>
      </c>
    </row>
    <row r="130" spans="4:10" x14ac:dyDescent="0.3">
      <c r="D130" s="153">
        <v>4</v>
      </c>
      <c r="E130" s="135" t="s">
        <v>302</v>
      </c>
      <c r="F130" s="135" t="s">
        <v>181</v>
      </c>
      <c r="G130" s="135" t="s">
        <v>303</v>
      </c>
      <c r="H130" s="153" t="s">
        <v>277</v>
      </c>
      <c r="I130" s="169" t="s">
        <v>350</v>
      </c>
      <c r="J130" s="137">
        <v>560000</v>
      </c>
    </row>
    <row r="131" spans="4:10" x14ac:dyDescent="0.3">
      <c r="D131" s="153">
        <v>4</v>
      </c>
      <c r="E131" s="135" t="s">
        <v>304</v>
      </c>
      <c r="F131" s="135" t="s">
        <v>181</v>
      </c>
      <c r="G131" s="135" t="s">
        <v>305</v>
      </c>
      <c r="H131" s="153" t="s">
        <v>277</v>
      </c>
      <c r="I131" s="169" t="s">
        <v>350</v>
      </c>
      <c r="J131" s="137">
        <v>500000</v>
      </c>
    </row>
    <row r="132" spans="4:10" x14ac:dyDescent="0.3">
      <c r="D132" s="153">
        <v>4</v>
      </c>
      <c r="E132" s="135" t="s">
        <v>306</v>
      </c>
      <c r="F132" s="135" t="s">
        <v>181</v>
      </c>
      <c r="G132" s="135" t="s">
        <v>296</v>
      </c>
      <c r="H132" s="153" t="s">
        <v>277</v>
      </c>
      <c r="I132" s="169" t="s">
        <v>350</v>
      </c>
      <c r="J132" s="137">
        <v>700000</v>
      </c>
    </row>
    <row r="133" spans="4:10" x14ac:dyDescent="0.3">
      <c r="D133" s="165">
        <v>4</v>
      </c>
      <c r="E133" s="135" t="s">
        <v>306</v>
      </c>
      <c r="F133" s="135" t="s">
        <v>294</v>
      </c>
      <c r="G133" s="135" t="s">
        <v>193</v>
      </c>
      <c r="H133" s="153" t="s">
        <v>277</v>
      </c>
      <c r="I133" s="169" t="s">
        <v>350</v>
      </c>
      <c r="J133" s="137">
        <v>496705.87</v>
      </c>
    </row>
    <row r="134" spans="4:10" x14ac:dyDescent="0.3">
      <c r="D134" s="165">
        <v>4</v>
      </c>
      <c r="E134" s="135" t="s">
        <v>307</v>
      </c>
      <c r="F134" s="135" t="s">
        <v>181</v>
      </c>
      <c r="G134" s="135" t="s">
        <v>308</v>
      </c>
      <c r="H134" s="153" t="s">
        <v>277</v>
      </c>
      <c r="I134" s="169" t="s">
        <v>350</v>
      </c>
      <c r="J134" s="137">
        <v>980000</v>
      </c>
    </row>
    <row r="135" spans="4:10" x14ac:dyDescent="0.3">
      <c r="D135" s="165">
        <v>4</v>
      </c>
      <c r="E135" s="175" t="s">
        <v>355</v>
      </c>
      <c r="F135" s="135" t="s">
        <v>181</v>
      </c>
      <c r="G135" s="135" t="s">
        <v>296</v>
      </c>
      <c r="H135" s="153" t="s">
        <v>277</v>
      </c>
      <c r="I135" s="169" t="s">
        <v>350</v>
      </c>
      <c r="J135" s="137">
        <v>750000</v>
      </c>
    </row>
    <row r="136" spans="4:10" x14ac:dyDescent="0.3">
      <c r="D136" s="153">
        <v>4</v>
      </c>
      <c r="E136" s="135" t="s">
        <v>309</v>
      </c>
      <c r="F136" s="135" t="s">
        <v>181</v>
      </c>
      <c r="G136" s="135" t="s">
        <v>310</v>
      </c>
      <c r="H136" s="153" t="s">
        <v>277</v>
      </c>
      <c r="I136" s="169" t="s">
        <v>350</v>
      </c>
      <c r="J136" s="137">
        <v>800000</v>
      </c>
    </row>
    <row r="137" spans="4:10" x14ac:dyDescent="0.3">
      <c r="D137" s="135">
        <v>4</v>
      </c>
      <c r="E137" s="135" t="s">
        <v>258</v>
      </c>
      <c r="F137" s="163" t="s">
        <v>181</v>
      </c>
      <c r="G137" s="135" t="s">
        <v>278</v>
      </c>
      <c r="H137" s="153" t="s">
        <v>277</v>
      </c>
      <c r="I137" s="169" t="s">
        <v>350</v>
      </c>
      <c r="J137" s="137">
        <v>522000</v>
      </c>
    </row>
    <row r="138" spans="4:10" x14ac:dyDescent="0.3">
      <c r="D138" s="165">
        <v>4</v>
      </c>
      <c r="E138" s="135" t="s">
        <v>95</v>
      </c>
      <c r="F138" s="135" t="s">
        <v>181</v>
      </c>
      <c r="G138" s="135" t="s">
        <v>311</v>
      </c>
      <c r="H138" s="153" t="s">
        <v>277</v>
      </c>
      <c r="I138" s="169" t="s">
        <v>350</v>
      </c>
      <c r="J138" s="137">
        <v>4350000</v>
      </c>
    </row>
    <row r="139" spans="4:10" x14ac:dyDescent="0.3">
      <c r="D139" s="153">
        <v>4</v>
      </c>
      <c r="E139" s="135" t="s">
        <v>312</v>
      </c>
      <c r="F139" s="135" t="s">
        <v>181</v>
      </c>
      <c r="G139" s="135" t="s">
        <v>199</v>
      </c>
      <c r="H139" s="153" t="s">
        <v>277</v>
      </c>
      <c r="I139" s="169" t="s">
        <v>350</v>
      </c>
      <c r="J139" s="137">
        <v>420000</v>
      </c>
    </row>
    <row r="140" spans="4:10" x14ac:dyDescent="0.3">
      <c r="D140" s="153">
        <v>4</v>
      </c>
      <c r="E140" s="135" t="s">
        <v>313</v>
      </c>
      <c r="F140" s="135" t="s">
        <v>181</v>
      </c>
      <c r="G140" s="135" t="s">
        <v>310</v>
      </c>
      <c r="H140" s="153" t="s">
        <v>277</v>
      </c>
      <c r="I140" s="169" t="s">
        <v>350</v>
      </c>
      <c r="J140" s="137">
        <v>870000</v>
      </c>
    </row>
    <row r="141" spans="4:10" x14ac:dyDescent="0.3">
      <c r="D141" s="153">
        <v>4</v>
      </c>
      <c r="E141" s="135" t="s">
        <v>317</v>
      </c>
      <c r="F141" s="135" t="s">
        <v>181</v>
      </c>
      <c r="G141" s="135" t="s">
        <v>318</v>
      </c>
      <c r="H141" s="153" t="s">
        <v>277</v>
      </c>
      <c r="I141" s="169" t="s">
        <v>350</v>
      </c>
      <c r="J141" s="137">
        <v>448000</v>
      </c>
    </row>
    <row r="142" spans="4:10" x14ac:dyDescent="0.3">
      <c r="D142" s="153">
        <v>4</v>
      </c>
      <c r="E142" s="135" t="s">
        <v>282</v>
      </c>
      <c r="F142" s="135" t="s">
        <v>294</v>
      </c>
      <c r="G142" s="135" t="s">
        <v>193</v>
      </c>
      <c r="H142" s="153" t="s">
        <v>277</v>
      </c>
      <c r="I142" s="169" t="s">
        <v>350</v>
      </c>
      <c r="J142" s="137">
        <v>496705.87</v>
      </c>
    </row>
    <row r="143" spans="4:10" x14ac:dyDescent="0.3">
      <c r="D143" s="153">
        <v>4</v>
      </c>
      <c r="E143" s="135" t="s">
        <v>319</v>
      </c>
      <c r="F143" s="135" t="s">
        <v>181</v>
      </c>
      <c r="G143" s="135" t="s">
        <v>285</v>
      </c>
      <c r="H143" s="153" t="s">
        <v>277</v>
      </c>
      <c r="I143" s="169" t="s">
        <v>350</v>
      </c>
      <c r="J143" s="137">
        <v>0</v>
      </c>
    </row>
    <row r="144" spans="4:10" x14ac:dyDescent="0.3">
      <c r="D144" s="153">
        <v>4</v>
      </c>
      <c r="E144" s="135" t="s">
        <v>320</v>
      </c>
      <c r="F144" s="135" t="s">
        <v>181</v>
      </c>
      <c r="G144" s="135" t="s">
        <v>346</v>
      </c>
      <c r="H144" s="153" t="s">
        <v>277</v>
      </c>
      <c r="I144" s="169" t="s">
        <v>350</v>
      </c>
      <c r="J144" s="137">
        <v>1400000</v>
      </c>
    </row>
    <row r="145" spans="4:10" x14ac:dyDescent="0.3">
      <c r="D145" s="135">
        <v>4</v>
      </c>
      <c r="E145" s="135" t="s">
        <v>286</v>
      </c>
      <c r="F145" s="135" t="s">
        <v>181</v>
      </c>
      <c r="G145" s="135" t="s">
        <v>287</v>
      </c>
      <c r="H145" s="153" t="s">
        <v>277</v>
      </c>
      <c r="I145" s="169" t="s">
        <v>350</v>
      </c>
      <c r="J145" s="137">
        <v>1500000</v>
      </c>
    </row>
    <row r="146" spans="4:10" x14ac:dyDescent="0.3">
      <c r="D146" s="153">
        <v>4</v>
      </c>
      <c r="E146" s="175" t="s">
        <v>314</v>
      </c>
      <c r="F146" s="135" t="s">
        <v>181</v>
      </c>
      <c r="G146" s="135" t="s">
        <v>255</v>
      </c>
      <c r="H146" s="153" t="s">
        <v>277</v>
      </c>
      <c r="I146" s="169" t="s">
        <v>350</v>
      </c>
      <c r="J146" s="137">
        <v>0</v>
      </c>
    </row>
    <row r="147" spans="4:10" x14ac:dyDescent="0.3">
      <c r="D147" s="153">
        <v>4</v>
      </c>
      <c r="E147" s="175" t="s">
        <v>316</v>
      </c>
      <c r="F147" s="135" t="s">
        <v>181</v>
      </c>
      <c r="G147" s="135" t="s">
        <v>255</v>
      </c>
      <c r="H147" s="153" t="s">
        <v>277</v>
      </c>
      <c r="I147" s="169" t="s">
        <v>350</v>
      </c>
      <c r="J147" s="137">
        <v>0</v>
      </c>
    </row>
    <row r="148" spans="4:10" x14ac:dyDescent="0.3">
      <c r="D148" s="153">
        <v>4</v>
      </c>
      <c r="E148" s="135" t="s">
        <v>315</v>
      </c>
      <c r="F148" s="135" t="s">
        <v>181</v>
      </c>
      <c r="G148" s="135" t="s">
        <v>255</v>
      </c>
      <c r="H148" s="153" t="s">
        <v>277</v>
      </c>
      <c r="I148" s="169" t="s">
        <v>350</v>
      </c>
      <c r="J148" s="137">
        <v>0</v>
      </c>
    </row>
    <row r="149" spans="4:10" ht="15.6" x14ac:dyDescent="0.3">
      <c r="D149" s="156"/>
      <c r="E149" s="138"/>
      <c r="F149" s="138"/>
      <c r="G149" s="138"/>
      <c r="I149" s="122" t="s">
        <v>131</v>
      </c>
      <c r="J149" s="123">
        <f>SUM(J107:J148)</f>
        <v>51833922.429999992</v>
      </c>
    </row>
    <row r="152" spans="4:10" x14ac:dyDescent="0.3">
      <c r="E152" t="s">
        <v>356</v>
      </c>
      <c r="F152" s="72">
        <v>500000</v>
      </c>
    </row>
    <row r="153" spans="4:10" x14ac:dyDescent="0.3">
      <c r="E153" t="s">
        <v>357</v>
      </c>
      <c r="F153" s="72">
        <v>500000</v>
      </c>
    </row>
    <row r="154" spans="4:10" x14ac:dyDescent="0.3">
      <c r="E154" t="s">
        <v>358</v>
      </c>
      <c r="F154" s="72">
        <v>500000</v>
      </c>
    </row>
    <row r="155" spans="4:10" x14ac:dyDescent="0.3">
      <c r="E155" t="s">
        <v>359</v>
      </c>
      <c r="F155" s="72">
        <v>500000</v>
      </c>
    </row>
    <row r="156" spans="4:10" x14ac:dyDescent="0.3">
      <c r="E156" t="s">
        <v>360</v>
      </c>
      <c r="F156" s="72">
        <v>500000</v>
      </c>
    </row>
    <row r="157" spans="4:10" x14ac:dyDescent="0.3">
      <c r="E157" t="s">
        <v>361</v>
      </c>
      <c r="F157" s="72">
        <v>500000</v>
      </c>
    </row>
    <row r="158" spans="4:10" x14ac:dyDescent="0.3">
      <c r="E158" s="176" t="s">
        <v>362</v>
      </c>
      <c r="F158" s="72">
        <v>500000</v>
      </c>
    </row>
    <row r="159" spans="4:10" x14ac:dyDescent="0.3">
      <c r="F159" s="177">
        <f>SUM(F152:F158)</f>
        <v>3500000</v>
      </c>
    </row>
    <row r="163" spans="4:8" x14ac:dyDescent="0.3">
      <c r="E163" t="s">
        <v>363</v>
      </c>
      <c r="F163" s="72">
        <v>500000</v>
      </c>
    </row>
    <row r="164" spans="4:8" x14ac:dyDescent="0.3">
      <c r="E164" t="s">
        <v>364</v>
      </c>
      <c r="F164" s="72">
        <v>500000</v>
      </c>
    </row>
    <row r="165" spans="4:8" x14ac:dyDescent="0.3">
      <c r="E165" t="s">
        <v>365</v>
      </c>
      <c r="F165" s="72">
        <v>500000</v>
      </c>
    </row>
    <row r="166" spans="4:8" x14ac:dyDescent="0.3">
      <c r="D166" s="71" t="s">
        <v>372</v>
      </c>
      <c r="E166" t="s">
        <v>366</v>
      </c>
      <c r="F166" s="178">
        <v>1000000</v>
      </c>
      <c r="G166" s="178">
        <v>300000</v>
      </c>
      <c r="H166" s="71" t="s">
        <v>368</v>
      </c>
    </row>
    <row r="167" spans="4:8" x14ac:dyDescent="0.3">
      <c r="E167" t="s">
        <v>367</v>
      </c>
      <c r="F167" s="72">
        <v>750000</v>
      </c>
      <c r="G167" t="s">
        <v>371</v>
      </c>
    </row>
    <row r="168" spans="4:8" x14ac:dyDescent="0.3">
      <c r="D168" s="71" t="s">
        <v>373</v>
      </c>
      <c r="E168" t="s">
        <v>369</v>
      </c>
      <c r="F168" s="72">
        <v>500000</v>
      </c>
    </row>
    <row r="169" spans="4:8" x14ac:dyDescent="0.3">
      <c r="E169" t="s">
        <v>370</v>
      </c>
      <c r="F169" s="72">
        <v>500000</v>
      </c>
    </row>
    <row r="170" spans="4:8" x14ac:dyDescent="0.3">
      <c r="E170" t="s">
        <v>374</v>
      </c>
      <c r="F170" s="72">
        <v>500000</v>
      </c>
    </row>
    <row r="171" spans="4:8" x14ac:dyDescent="0.3">
      <c r="F171" s="177">
        <f>SUM(F163:F170)</f>
        <v>4750000</v>
      </c>
    </row>
  </sheetData>
  <autoFilter ref="D62:J62" xr:uid="{0FDA6326-0170-4B4B-AA22-4FB8350AE9FE}">
    <sortState xmlns:xlrd2="http://schemas.microsoft.com/office/spreadsheetml/2017/richdata2" ref="D63:J79">
      <sortCondition ref="I62"/>
    </sortState>
  </autoFilter>
  <mergeCells count="1">
    <mergeCell ref="F2:G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57" fitToHeight="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5966-2F2E-4EF0-ADA5-167C1F6FC274}">
  <dimension ref="A2:L169"/>
  <sheetViews>
    <sheetView showGridLines="0" topLeftCell="A38" workbookViewId="0">
      <selection activeCell="E54" sqref="E54:J54"/>
    </sheetView>
  </sheetViews>
  <sheetFormatPr defaultRowHeight="14.4" x14ac:dyDescent="0.3"/>
  <cols>
    <col min="1" max="1" width="9.33203125" customWidth="1"/>
    <col min="2" max="2" width="3" customWidth="1"/>
    <col min="3" max="3" width="4.21875" customWidth="1"/>
    <col min="4" max="4" width="6.33203125" style="71" customWidth="1"/>
    <col min="5" max="5" width="23.88671875" customWidth="1"/>
    <col min="6" max="6" width="32.21875" bestFit="1" customWidth="1"/>
    <col min="7" max="7" width="39.6640625" bestFit="1" customWidth="1"/>
    <col min="8" max="8" width="28.33203125" style="71" customWidth="1"/>
    <col min="9" max="9" width="30.44140625" style="71" bestFit="1" customWidth="1"/>
    <col min="10" max="10" width="19.21875" style="72" customWidth="1"/>
    <col min="11" max="11" width="3" customWidth="1"/>
    <col min="12" max="12" width="9.88671875" customWidth="1"/>
  </cols>
  <sheetData>
    <row r="2" spans="1:10" ht="18" thickBot="1" x14ac:dyDescent="0.4">
      <c r="D2"/>
      <c r="F2" s="124"/>
      <c r="G2" s="124"/>
    </row>
    <row r="3" spans="1:10" ht="15" thickBot="1" x14ac:dyDescent="0.35">
      <c r="D3" s="128" t="s">
        <v>162</v>
      </c>
      <c r="E3" s="129" t="s">
        <v>1</v>
      </c>
      <c r="F3" s="129" t="s">
        <v>2</v>
      </c>
      <c r="G3" s="129" t="s">
        <v>102</v>
      </c>
      <c r="H3" s="129" t="s">
        <v>103</v>
      </c>
      <c r="I3" s="129" t="s">
        <v>334</v>
      </c>
      <c r="J3" s="130" t="s">
        <v>82</v>
      </c>
    </row>
    <row r="4" spans="1:10" x14ac:dyDescent="0.3">
      <c r="D4" s="125">
        <v>0</v>
      </c>
      <c r="E4" s="126" t="s">
        <v>167</v>
      </c>
      <c r="F4" s="151" t="s">
        <v>168</v>
      </c>
      <c r="G4" s="126" t="s">
        <v>172</v>
      </c>
      <c r="H4" s="125"/>
      <c r="I4" s="125"/>
      <c r="J4" s="127">
        <v>5900000</v>
      </c>
    </row>
    <row r="5" spans="1:10" ht="14.4" customHeight="1" x14ac:dyDescent="0.3">
      <c r="D5" s="121"/>
      <c r="E5" s="121"/>
      <c r="F5" s="121"/>
      <c r="G5" s="121"/>
      <c r="I5" s="122" t="s">
        <v>131</v>
      </c>
      <c r="J5" s="123">
        <f>J4</f>
        <v>5900000</v>
      </c>
    </row>
    <row r="6" spans="1:10" ht="17.399999999999999" customHeight="1" x14ac:dyDescent="0.3">
      <c r="D6" s="121"/>
      <c r="E6" s="121"/>
      <c r="F6" s="121"/>
      <c r="G6" s="121"/>
      <c r="H6" s="145"/>
      <c r="I6" s="145"/>
      <c r="J6" s="146"/>
    </row>
    <row r="7" spans="1:10" ht="17.399999999999999" customHeight="1" x14ac:dyDescent="0.3">
      <c r="D7" s="121"/>
      <c r="E7" s="121"/>
      <c r="F7" s="121"/>
      <c r="G7" s="121"/>
      <c r="H7" s="145"/>
      <c r="I7" s="145"/>
      <c r="J7" s="146"/>
    </row>
    <row r="8" spans="1:10" ht="15" x14ac:dyDescent="0.3">
      <c r="A8" s="117"/>
      <c r="D8" s="142" t="s">
        <v>175</v>
      </c>
      <c r="E8" s="117"/>
    </row>
    <row r="9" spans="1:10" ht="1.8" customHeight="1" thickBot="1" x14ac:dyDescent="0.35"/>
    <row r="10" spans="1:10" ht="15" thickBot="1" x14ac:dyDescent="0.35">
      <c r="D10" s="128" t="s">
        <v>162</v>
      </c>
      <c r="E10" s="129" t="s">
        <v>1</v>
      </c>
      <c r="F10" s="129" t="s">
        <v>2</v>
      </c>
      <c r="G10" s="129" t="s">
        <v>102</v>
      </c>
      <c r="H10" s="129" t="s">
        <v>103</v>
      </c>
      <c r="I10" s="129" t="s">
        <v>334</v>
      </c>
      <c r="J10" s="130" t="s">
        <v>82</v>
      </c>
    </row>
    <row r="11" spans="1:10" x14ac:dyDescent="0.3">
      <c r="D11" s="125">
        <v>0</v>
      </c>
      <c r="E11" s="126" t="s">
        <v>166</v>
      </c>
      <c r="F11" s="151" t="s">
        <v>168</v>
      </c>
      <c r="G11" s="126" t="s">
        <v>165</v>
      </c>
      <c r="H11" s="125"/>
      <c r="I11" s="125"/>
      <c r="J11" s="127">
        <v>2000000</v>
      </c>
    </row>
    <row r="12" spans="1:10" s="121" customFormat="1" ht="14.4" customHeight="1" x14ac:dyDescent="0.3">
      <c r="H12" s="71"/>
      <c r="I12" s="122" t="s">
        <v>131</v>
      </c>
      <c r="J12" s="123">
        <f>J11</f>
        <v>2000000</v>
      </c>
    </row>
    <row r="13" spans="1:10" s="121" customFormat="1" ht="17.399999999999999" customHeight="1" x14ac:dyDescent="0.3">
      <c r="D13" s="71"/>
      <c r="E13" s="147"/>
      <c r="F13" s="147"/>
      <c r="G13" s="147"/>
      <c r="H13" s="71"/>
      <c r="I13" s="71"/>
      <c r="J13" s="148"/>
    </row>
    <row r="14" spans="1:10" s="121" customFormat="1" ht="17.399999999999999" customHeight="1" x14ac:dyDescent="0.3">
      <c r="D14" s="142" t="s">
        <v>238</v>
      </c>
      <c r="E14" s="147"/>
      <c r="F14" s="147"/>
      <c r="G14" s="147"/>
      <c r="H14" s="71"/>
      <c r="I14" s="71"/>
      <c r="J14" s="148"/>
    </row>
    <row r="15" spans="1:10" s="121" customFormat="1" ht="2.4" customHeight="1" thickBot="1" x14ac:dyDescent="0.35">
      <c r="D15" s="71"/>
      <c r="E15" s="147"/>
      <c r="F15" s="147"/>
      <c r="G15" s="147"/>
      <c r="H15" s="71"/>
      <c r="I15" s="71"/>
      <c r="J15" s="148"/>
    </row>
    <row r="16" spans="1:10" s="121" customFormat="1" ht="17.399999999999999" customHeight="1" thickBot="1" x14ac:dyDescent="0.35">
      <c r="D16" s="128" t="s">
        <v>162</v>
      </c>
      <c r="E16" s="129" t="s">
        <v>1</v>
      </c>
      <c r="F16" s="149" t="s">
        <v>2</v>
      </c>
      <c r="G16" s="129" t="s">
        <v>102</v>
      </c>
      <c r="H16" s="129" t="s">
        <v>103</v>
      </c>
      <c r="I16" s="129" t="s">
        <v>334</v>
      </c>
      <c r="J16" s="130" t="s">
        <v>82</v>
      </c>
    </row>
    <row r="17" spans="4:10" s="121" customFormat="1" ht="15" customHeight="1" x14ac:dyDescent="0.3">
      <c r="D17" s="135">
        <v>0</v>
      </c>
      <c r="E17" s="136" t="s">
        <v>21</v>
      </c>
      <c r="F17" s="150" t="s">
        <v>96</v>
      </c>
      <c r="G17" s="136" t="s">
        <v>240</v>
      </c>
      <c r="H17" s="135" t="s">
        <v>239</v>
      </c>
      <c r="I17" s="135" t="s">
        <v>347</v>
      </c>
      <c r="J17" s="137">
        <v>645999.5</v>
      </c>
    </row>
    <row r="18" spans="4:10" s="121" customFormat="1" ht="15" customHeight="1" x14ac:dyDescent="0.3">
      <c r="D18" s="135">
        <v>0</v>
      </c>
      <c r="E18" s="136" t="s">
        <v>78</v>
      </c>
      <c r="F18" s="150" t="s">
        <v>133</v>
      </c>
      <c r="G18" s="136" t="s">
        <v>240</v>
      </c>
      <c r="H18" s="135" t="s">
        <v>241</v>
      </c>
      <c r="I18" s="135" t="s">
        <v>347</v>
      </c>
      <c r="J18" s="137">
        <v>692699.19</v>
      </c>
    </row>
    <row r="19" spans="4:10" s="121" customFormat="1" ht="15" customHeight="1" x14ac:dyDescent="0.3">
      <c r="D19" s="135">
        <v>0</v>
      </c>
      <c r="E19" s="136" t="s">
        <v>242</v>
      </c>
      <c r="F19" s="150" t="s">
        <v>29</v>
      </c>
      <c r="G19" s="136" t="s">
        <v>240</v>
      </c>
      <c r="H19" s="135" t="s">
        <v>243</v>
      </c>
      <c r="I19" s="173" t="s">
        <v>343</v>
      </c>
      <c r="J19" s="137">
        <v>362130.36</v>
      </c>
    </row>
    <row r="20" spans="4:10" s="121" customFormat="1" ht="15" customHeight="1" x14ac:dyDescent="0.3">
      <c r="D20" s="135">
        <v>0</v>
      </c>
      <c r="E20" s="136" t="s">
        <v>244</v>
      </c>
      <c r="F20" s="150" t="s">
        <v>246</v>
      </c>
      <c r="G20" s="136" t="s">
        <v>240</v>
      </c>
      <c r="H20" s="135" t="s">
        <v>245</v>
      </c>
      <c r="I20" s="135" t="s">
        <v>347</v>
      </c>
      <c r="J20" s="137">
        <v>380969.09</v>
      </c>
    </row>
    <row r="21" spans="4:10" s="121" customFormat="1" ht="17.399999999999999" customHeight="1" x14ac:dyDescent="0.3">
      <c r="D21" s="71"/>
      <c r="E21" s="147"/>
      <c r="F21" s="147"/>
      <c r="G21" s="147"/>
      <c r="H21" s="71"/>
      <c r="I21" s="122" t="s">
        <v>131</v>
      </c>
      <c r="J21" s="123">
        <f>J17+J18+J19+J20</f>
        <v>2081798.14</v>
      </c>
    </row>
    <row r="22" spans="4:10" s="121" customFormat="1" ht="17.399999999999999" customHeight="1" x14ac:dyDescent="0.3">
      <c r="D22" s="71"/>
      <c r="E22" s="147"/>
      <c r="F22" s="147"/>
      <c r="G22" s="147"/>
      <c r="H22" s="71"/>
      <c r="I22" s="71"/>
      <c r="J22" s="148"/>
    </row>
    <row r="24" spans="4:10" ht="15" x14ac:dyDescent="0.3">
      <c r="D24" s="142" t="s">
        <v>173</v>
      </c>
    </row>
    <row r="25" spans="4:10" ht="1.8" customHeight="1" thickBot="1" x14ac:dyDescent="0.35"/>
    <row r="26" spans="4:10" ht="15" thickBot="1" x14ac:dyDescent="0.35">
      <c r="D26" s="128" t="s">
        <v>162</v>
      </c>
      <c r="E26" s="129" t="s">
        <v>1</v>
      </c>
      <c r="F26" s="129" t="s">
        <v>2</v>
      </c>
      <c r="G26" s="129" t="s">
        <v>102</v>
      </c>
      <c r="H26" s="129" t="s">
        <v>103</v>
      </c>
      <c r="I26" s="129" t="s">
        <v>334</v>
      </c>
      <c r="J26" s="130" t="s">
        <v>82</v>
      </c>
    </row>
    <row r="27" spans="4:10" x14ac:dyDescent="0.3">
      <c r="D27" s="125">
        <v>1</v>
      </c>
      <c r="E27" s="126" t="s">
        <v>23</v>
      </c>
      <c r="F27" s="126" t="s">
        <v>84</v>
      </c>
      <c r="G27" s="126" t="s">
        <v>111</v>
      </c>
      <c r="H27" s="125" t="s">
        <v>117</v>
      </c>
      <c r="I27" s="168" t="s">
        <v>143</v>
      </c>
      <c r="J27" s="127">
        <v>1406987.08</v>
      </c>
    </row>
    <row r="28" spans="4:10" x14ac:dyDescent="0.3">
      <c r="D28" s="118">
        <v>1</v>
      </c>
      <c r="E28" s="119" t="s">
        <v>23</v>
      </c>
      <c r="F28" s="119" t="s">
        <v>84</v>
      </c>
      <c r="G28" s="119" t="s">
        <v>112</v>
      </c>
      <c r="H28" s="118" t="s">
        <v>119</v>
      </c>
      <c r="I28" s="168" t="s">
        <v>143</v>
      </c>
      <c r="J28" s="120">
        <v>442113.46</v>
      </c>
    </row>
    <row r="29" spans="4:10" x14ac:dyDescent="0.3">
      <c r="D29" s="118">
        <v>1</v>
      </c>
      <c r="E29" s="119" t="s">
        <v>27</v>
      </c>
      <c r="F29" s="119" t="s">
        <v>86</v>
      </c>
      <c r="G29" s="119" t="s">
        <v>110</v>
      </c>
      <c r="H29" s="118" t="s">
        <v>121</v>
      </c>
      <c r="I29" s="168" t="s">
        <v>143</v>
      </c>
      <c r="J29" s="120">
        <v>1841314.24</v>
      </c>
    </row>
    <row r="30" spans="4:10" x14ac:dyDescent="0.3">
      <c r="D30" s="118">
        <v>1</v>
      </c>
      <c r="E30" s="119" t="s">
        <v>19</v>
      </c>
      <c r="F30" s="119" t="s">
        <v>20</v>
      </c>
      <c r="G30" s="119" t="s">
        <v>107</v>
      </c>
      <c r="H30" s="118" t="s">
        <v>123</v>
      </c>
      <c r="I30" s="164" t="s">
        <v>335</v>
      </c>
      <c r="J30" s="120">
        <v>1474215.57</v>
      </c>
    </row>
    <row r="31" spans="4:10" x14ac:dyDescent="0.3">
      <c r="D31" s="118">
        <v>1</v>
      </c>
      <c r="E31" s="119" t="s">
        <v>63</v>
      </c>
      <c r="F31" s="119" t="s">
        <v>90</v>
      </c>
      <c r="G31" s="119" t="s">
        <v>128</v>
      </c>
      <c r="H31" s="118" t="s">
        <v>125</v>
      </c>
      <c r="I31" s="169" t="s">
        <v>336</v>
      </c>
      <c r="J31" s="120">
        <v>1001012.24</v>
      </c>
    </row>
    <row r="32" spans="4:10" x14ac:dyDescent="0.3">
      <c r="D32" s="118">
        <v>1</v>
      </c>
      <c r="E32" s="119" t="s">
        <v>6</v>
      </c>
      <c r="F32" s="119" t="s">
        <v>97</v>
      </c>
      <c r="G32" s="119" t="s">
        <v>139</v>
      </c>
      <c r="H32" s="118" t="s">
        <v>138</v>
      </c>
      <c r="I32" s="169" t="s">
        <v>336</v>
      </c>
      <c r="J32" s="120">
        <v>908033.58</v>
      </c>
    </row>
    <row r="33" spans="4:12" x14ac:dyDescent="0.3">
      <c r="D33" s="118">
        <v>1</v>
      </c>
      <c r="E33" s="119" t="s">
        <v>36</v>
      </c>
      <c r="F33" s="119" t="s">
        <v>87</v>
      </c>
      <c r="G33" s="119" t="s">
        <v>108</v>
      </c>
      <c r="H33" s="118" t="s">
        <v>122</v>
      </c>
      <c r="I33" s="169" t="s">
        <v>336</v>
      </c>
      <c r="J33" s="120">
        <v>950657.62</v>
      </c>
    </row>
    <row r="34" spans="4:12" x14ac:dyDescent="0.3">
      <c r="D34" s="118">
        <v>1</v>
      </c>
      <c r="E34" s="119" t="s">
        <v>41</v>
      </c>
      <c r="F34" s="119" t="s">
        <v>130</v>
      </c>
      <c r="G34" s="119" t="s">
        <v>113</v>
      </c>
      <c r="H34" s="118" t="s">
        <v>120</v>
      </c>
      <c r="I34" s="169" t="s">
        <v>336</v>
      </c>
      <c r="J34" s="120">
        <v>950664.72</v>
      </c>
    </row>
    <row r="35" spans="4:12" x14ac:dyDescent="0.3">
      <c r="D35" s="118">
        <v>1</v>
      </c>
      <c r="E35" s="119" t="s">
        <v>68</v>
      </c>
      <c r="F35" s="119" t="s">
        <v>337</v>
      </c>
      <c r="G35" s="119" t="s">
        <v>340</v>
      </c>
      <c r="H35" s="118" t="s">
        <v>249</v>
      </c>
      <c r="I35" s="169" t="s">
        <v>336</v>
      </c>
      <c r="J35" s="120">
        <v>1500000</v>
      </c>
    </row>
    <row r="36" spans="4:12" x14ac:dyDescent="0.3">
      <c r="D36" s="118">
        <v>1</v>
      </c>
      <c r="E36" s="119" t="s">
        <v>8</v>
      </c>
      <c r="F36" s="119" t="s">
        <v>338</v>
      </c>
      <c r="G36" s="119" t="s">
        <v>340</v>
      </c>
      <c r="H36" s="118" t="s">
        <v>250</v>
      </c>
      <c r="I36" s="169" t="s">
        <v>336</v>
      </c>
      <c r="J36" s="120">
        <v>1500000</v>
      </c>
    </row>
    <row r="37" spans="4:12" x14ac:dyDescent="0.3">
      <c r="D37" s="118">
        <v>1</v>
      </c>
      <c r="E37" s="119" t="s">
        <v>242</v>
      </c>
      <c r="F37" s="119" t="s">
        <v>339</v>
      </c>
      <c r="G37" s="119" t="s">
        <v>341</v>
      </c>
      <c r="H37" s="118" t="s">
        <v>251</v>
      </c>
      <c r="I37" s="169" t="s">
        <v>336</v>
      </c>
      <c r="J37" s="120">
        <v>1000000</v>
      </c>
      <c r="K37" s="72"/>
      <c r="L37" s="72"/>
    </row>
    <row r="38" spans="4:12" s="121" customFormat="1" ht="14.4" customHeight="1" x14ac:dyDescent="0.3">
      <c r="H38" s="71"/>
      <c r="I38" s="122" t="s">
        <v>131</v>
      </c>
      <c r="J38" s="123">
        <f>SUBTOTAL(109,J27:J37)</f>
        <v>12974998.510000002</v>
      </c>
    </row>
    <row r="39" spans="4:12" s="121" customFormat="1" ht="17.399999999999999" customHeight="1" x14ac:dyDescent="0.3">
      <c r="D39" s="71"/>
      <c r="E39" s="147"/>
      <c r="F39" s="147"/>
      <c r="G39" s="147"/>
      <c r="H39" s="71"/>
      <c r="I39" s="71"/>
      <c r="J39" s="148"/>
    </row>
    <row r="41" spans="4:12" ht="15" x14ac:dyDescent="0.3">
      <c r="D41" s="142" t="s">
        <v>174</v>
      </c>
    </row>
    <row r="42" spans="4:12" ht="1.8" customHeight="1" thickBot="1" x14ac:dyDescent="0.35"/>
    <row r="43" spans="4:12" ht="15" thickBot="1" x14ac:dyDescent="0.35">
      <c r="D43" s="128" t="s">
        <v>162</v>
      </c>
      <c r="E43" s="129" t="s">
        <v>1</v>
      </c>
      <c r="F43" s="129" t="s">
        <v>2</v>
      </c>
      <c r="G43" s="129" t="s">
        <v>102</v>
      </c>
      <c r="H43" s="129" t="s">
        <v>103</v>
      </c>
      <c r="I43" s="129" t="s">
        <v>334</v>
      </c>
      <c r="J43" s="130" t="s">
        <v>82</v>
      </c>
    </row>
    <row r="44" spans="4:12" x14ac:dyDescent="0.3">
      <c r="D44" s="118">
        <v>2</v>
      </c>
      <c r="E44" s="119" t="s">
        <v>15</v>
      </c>
      <c r="F44" s="119" t="s">
        <v>85</v>
      </c>
      <c r="G44" s="119" t="s">
        <v>106</v>
      </c>
      <c r="H44" s="118" t="s">
        <v>118</v>
      </c>
      <c r="I44" s="169" t="s">
        <v>336</v>
      </c>
      <c r="J44" s="120">
        <v>175308.48</v>
      </c>
    </row>
    <row r="45" spans="4:12" s="171" customFormat="1" ht="14.4" customHeight="1" x14ac:dyDescent="0.3">
      <c r="D45" s="170">
        <v>2</v>
      </c>
      <c r="E45" s="150" t="s">
        <v>25</v>
      </c>
      <c r="F45" s="150" t="s">
        <v>60</v>
      </c>
      <c r="G45" s="150" t="s">
        <v>109</v>
      </c>
      <c r="H45" s="170" t="s">
        <v>114</v>
      </c>
      <c r="I45" s="169" t="s">
        <v>336</v>
      </c>
      <c r="J45" s="172">
        <v>1999962.2</v>
      </c>
    </row>
    <row r="46" spans="4:12" x14ac:dyDescent="0.3">
      <c r="D46" s="118">
        <v>2</v>
      </c>
      <c r="E46" s="197" t="s">
        <v>67</v>
      </c>
      <c r="F46" s="119" t="s">
        <v>88</v>
      </c>
      <c r="G46" s="119" t="s">
        <v>127</v>
      </c>
      <c r="H46" s="118" t="s">
        <v>124</v>
      </c>
      <c r="I46" s="169" t="s">
        <v>336</v>
      </c>
      <c r="J46" s="120">
        <v>3416482.25</v>
      </c>
    </row>
    <row r="47" spans="4:12" x14ac:dyDescent="0.3">
      <c r="D47" s="118">
        <v>2</v>
      </c>
      <c r="E47" s="197" t="s">
        <v>30</v>
      </c>
      <c r="F47" s="119" t="s">
        <v>89</v>
      </c>
      <c r="G47" s="197" t="s">
        <v>129</v>
      </c>
      <c r="H47" s="118" t="s">
        <v>126</v>
      </c>
      <c r="I47" s="169" t="s">
        <v>336</v>
      </c>
      <c r="J47" s="198">
        <v>1048606.3500000001</v>
      </c>
    </row>
    <row r="48" spans="4:12" x14ac:dyDescent="0.3">
      <c r="D48" s="118">
        <v>2</v>
      </c>
      <c r="E48" s="119" t="s">
        <v>13</v>
      </c>
      <c r="F48" s="119" t="s">
        <v>169</v>
      </c>
      <c r="G48" s="119" t="s">
        <v>137</v>
      </c>
      <c r="H48" s="118" t="s">
        <v>136</v>
      </c>
      <c r="I48" s="169" t="s">
        <v>336</v>
      </c>
      <c r="J48" s="120">
        <v>1320816.46</v>
      </c>
    </row>
    <row r="49" spans="4:11" x14ac:dyDescent="0.3">
      <c r="D49" s="118">
        <v>2</v>
      </c>
      <c r="E49" s="119" t="s">
        <v>78</v>
      </c>
      <c r="F49" s="119" t="s">
        <v>133</v>
      </c>
      <c r="G49" s="119" t="s">
        <v>142</v>
      </c>
      <c r="H49" s="118" t="s">
        <v>170</v>
      </c>
      <c r="I49" s="169" t="s">
        <v>336</v>
      </c>
      <c r="J49" s="120">
        <v>3000000</v>
      </c>
    </row>
    <row r="50" spans="4:11" x14ac:dyDescent="0.3">
      <c r="D50" s="118">
        <v>2</v>
      </c>
      <c r="E50" s="119" t="s">
        <v>4</v>
      </c>
      <c r="F50" s="119" t="s">
        <v>93</v>
      </c>
      <c r="G50" s="119" t="s">
        <v>104</v>
      </c>
      <c r="H50" s="118" t="s">
        <v>144</v>
      </c>
      <c r="I50" s="169" t="s">
        <v>336</v>
      </c>
      <c r="J50" s="120">
        <v>6464841.9500000002</v>
      </c>
    </row>
    <row r="51" spans="4:11" x14ac:dyDescent="0.3">
      <c r="D51" s="118">
        <v>2</v>
      </c>
      <c r="E51" s="119" t="s">
        <v>134</v>
      </c>
      <c r="F51" s="119" t="s">
        <v>135</v>
      </c>
      <c r="G51" s="119" t="s">
        <v>141</v>
      </c>
      <c r="H51" s="118" t="s">
        <v>140</v>
      </c>
      <c r="I51" s="169" t="s">
        <v>336</v>
      </c>
      <c r="J51" s="120">
        <v>993476.82</v>
      </c>
    </row>
    <row r="52" spans="4:11" x14ac:dyDescent="0.3">
      <c r="D52" s="118">
        <v>2</v>
      </c>
      <c r="E52" s="119" t="s">
        <v>155</v>
      </c>
      <c r="F52" s="119" t="s">
        <v>158</v>
      </c>
      <c r="G52" s="119" t="s">
        <v>104</v>
      </c>
      <c r="H52" s="118" t="s">
        <v>99</v>
      </c>
      <c r="I52" s="118" t="s">
        <v>342</v>
      </c>
      <c r="J52" s="120">
        <v>1000000</v>
      </c>
    </row>
    <row r="53" spans="4:11" x14ac:dyDescent="0.3">
      <c r="D53" s="118">
        <v>2</v>
      </c>
      <c r="E53" s="119" t="s">
        <v>156</v>
      </c>
      <c r="F53" s="119" t="s">
        <v>160</v>
      </c>
      <c r="G53" s="119" t="s">
        <v>104</v>
      </c>
      <c r="H53" s="118" t="s">
        <v>99</v>
      </c>
      <c r="I53" s="118" t="s">
        <v>342</v>
      </c>
      <c r="J53" s="120">
        <v>800000</v>
      </c>
    </row>
    <row r="54" spans="4:11" x14ac:dyDescent="0.3">
      <c r="D54" s="118">
        <v>2</v>
      </c>
      <c r="E54" s="119" t="s">
        <v>37</v>
      </c>
      <c r="F54" s="119" t="s">
        <v>98</v>
      </c>
      <c r="G54" s="119" t="s">
        <v>104</v>
      </c>
      <c r="H54" s="118" t="s">
        <v>99</v>
      </c>
      <c r="I54" s="118" t="s">
        <v>342</v>
      </c>
      <c r="J54" s="120">
        <v>1000000</v>
      </c>
    </row>
    <row r="55" spans="4:11" s="121" customFormat="1" ht="14.4" customHeight="1" x14ac:dyDescent="0.3">
      <c r="H55" s="71"/>
      <c r="I55" s="122" t="s">
        <v>131</v>
      </c>
      <c r="J55" s="123">
        <f>SUBTOTAL(109,J44:J54)</f>
        <v>21219494.509999998</v>
      </c>
    </row>
    <row r="56" spans="4:11" s="121" customFormat="1" ht="17.399999999999999" customHeight="1" x14ac:dyDescent="0.3">
      <c r="H56" s="145"/>
      <c r="I56" s="145"/>
      <c r="J56" s="146"/>
    </row>
    <row r="58" spans="4:11" ht="15" x14ac:dyDescent="0.3">
      <c r="D58" s="141" t="s">
        <v>176</v>
      </c>
      <c r="E58" s="131"/>
      <c r="F58" s="131"/>
      <c r="G58" s="131"/>
      <c r="H58" s="131"/>
      <c r="I58" s="131"/>
      <c r="J58" s="131"/>
      <c r="K58" s="131"/>
    </row>
    <row r="59" spans="4:11" ht="1.8" customHeight="1" thickBot="1" x14ac:dyDescent="0.35">
      <c r="D59" s="131"/>
      <c r="E59" s="131"/>
      <c r="F59" s="131"/>
      <c r="G59" s="131"/>
      <c r="H59" s="131"/>
      <c r="I59" s="131"/>
      <c r="J59" s="131"/>
      <c r="K59" s="131"/>
    </row>
    <row r="60" spans="4:11" ht="15.6" thickBot="1" x14ac:dyDescent="0.35">
      <c r="D60" s="132" t="s">
        <v>177</v>
      </c>
      <c r="E60" s="133" t="s">
        <v>178</v>
      </c>
      <c r="F60" s="133" t="s">
        <v>179</v>
      </c>
      <c r="G60" s="133" t="s">
        <v>102</v>
      </c>
      <c r="H60" s="133" t="s">
        <v>103</v>
      </c>
      <c r="I60" s="129" t="s">
        <v>334</v>
      </c>
      <c r="J60" s="134" t="s">
        <v>180</v>
      </c>
    </row>
    <row r="61" spans="4:11" x14ac:dyDescent="0.3">
      <c r="D61" s="135">
        <v>1</v>
      </c>
      <c r="E61" s="136" t="s">
        <v>187</v>
      </c>
      <c r="F61" s="135" t="s">
        <v>181</v>
      </c>
      <c r="G61" s="136" t="s">
        <v>189</v>
      </c>
      <c r="H61" s="135" t="s">
        <v>188</v>
      </c>
      <c r="I61" s="173" t="s">
        <v>343</v>
      </c>
      <c r="J61" s="137">
        <v>561100</v>
      </c>
    </row>
    <row r="62" spans="4:11" x14ac:dyDescent="0.3">
      <c r="D62" s="135">
        <v>1</v>
      </c>
      <c r="E62" s="136" t="s">
        <v>194</v>
      </c>
      <c r="F62" s="135" t="s">
        <v>195</v>
      </c>
      <c r="G62" s="136" t="s">
        <v>197</v>
      </c>
      <c r="H62" s="135" t="s">
        <v>196</v>
      </c>
      <c r="I62" s="173" t="s">
        <v>343</v>
      </c>
      <c r="J62" s="137">
        <v>786000</v>
      </c>
    </row>
    <row r="63" spans="4:11" x14ac:dyDescent="0.3">
      <c r="D63" s="135">
        <v>1</v>
      </c>
      <c r="E63" s="136" t="s">
        <v>155</v>
      </c>
      <c r="F63" s="135" t="s">
        <v>200</v>
      </c>
      <c r="G63" s="136" t="s">
        <v>202</v>
      </c>
      <c r="H63" s="135" t="s">
        <v>201</v>
      </c>
      <c r="I63" s="173" t="s">
        <v>343</v>
      </c>
      <c r="J63" s="137">
        <v>934000</v>
      </c>
    </row>
    <row r="64" spans="4:11" x14ac:dyDescent="0.3">
      <c r="D64" s="135">
        <v>1</v>
      </c>
      <c r="E64" s="136" t="s">
        <v>36</v>
      </c>
      <c r="F64" s="135" t="s">
        <v>191</v>
      </c>
      <c r="G64" s="136" t="s">
        <v>210</v>
      </c>
      <c r="H64" s="135" t="s">
        <v>209</v>
      </c>
      <c r="I64" s="173" t="s">
        <v>343</v>
      </c>
      <c r="J64" s="137">
        <v>502200</v>
      </c>
    </row>
    <row r="65" spans="4:11" x14ac:dyDescent="0.3">
      <c r="D65" s="135">
        <v>1</v>
      </c>
      <c r="E65" s="136" t="s">
        <v>213</v>
      </c>
      <c r="F65" s="135" t="s">
        <v>181</v>
      </c>
      <c r="G65" s="136" t="s">
        <v>215</v>
      </c>
      <c r="H65" s="135" t="s">
        <v>214</v>
      </c>
      <c r="I65" s="173" t="s">
        <v>343</v>
      </c>
      <c r="J65" s="137">
        <v>498000</v>
      </c>
    </row>
    <row r="66" spans="4:11" x14ac:dyDescent="0.3">
      <c r="D66" s="135">
        <v>1</v>
      </c>
      <c r="E66" s="136" t="s">
        <v>216</v>
      </c>
      <c r="F66" s="135" t="s">
        <v>181</v>
      </c>
      <c r="G66" s="136" t="s">
        <v>218</v>
      </c>
      <c r="H66" s="135" t="s">
        <v>217</v>
      </c>
      <c r="I66" s="173" t="s">
        <v>343</v>
      </c>
      <c r="J66" s="137">
        <v>2317720</v>
      </c>
    </row>
    <row r="67" spans="4:11" x14ac:dyDescent="0.3">
      <c r="D67" s="135">
        <v>1</v>
      </c>
      <c r="E67" s="159" t="s">
        <v>10</v>
      </c>
      <c r="F67" s="135" t="s">
        <v>181</v>
      </c>
      <c r="G67" s="136" t="s">
        <v>327</v>
      </c>
      <c r="H67" s="118" t="s">
        <v>324</v>
      </c>
      <c r="I67" s="173" t="s">
        <v>343</v>
      </c>
      <c r="J67" s="137">
        <v>200000</v>
      </c>
    </row>
    <row r="68" spans="4:11" x14ac:dyDescent="0.3">
      <c r="D68" s="135">
        <v>1</v>
      </c>
      <c r="E68" s="136" t="s">
        <v>221</v>
      </c>
      <c r="F68" s="135" t="s">
        <v>181</v>
      </c>
      <c r="G68" s="136" t="s">
        <v>223</v>
      </c>
      <c r="H68" s="135" t="s">
        <v>222</v>
      </c>
      <c r="I68" s="173" t="s">
        <v>343</v>
      </c>
      <c r="J68" s="137">
        <v>1187953.73</v>
      </c>
    </row>
    <row r="69" spans="4:11" x14ac:dyDescent="0.3">
      <c r="D69" s="135">
        <v>1</v>
      </c>
      <c r="E69" s="136" t="s">
        <v>35</v>
      </c>
      <c r="F69" s="135" t="s">
        <v>181</v>
      </c>
      <c r="G69" s="136" t="s">
        <v>199</v>
      </c>
      <c r="H69" s="135" t="s">
        <v>198</v>
      </c>
      <c r="I69" s="135" t="s">
        <v>349</v>
      </c>
      <c r="J69" s="137">
        <v>444316.1</v>
      </c>
    </row>
    <row r="70" spans="4:11" x14ac:dyDescent="0.3">
      <c r="D70" s="135">
        <v>1</v>
      </c>
      <c r="E70" s="136" t="s">
        <v>8</v>
      </c>
      <c r="F70" s="135" t="s">
        <v>181</v>
      </c>
      <c r="G70" s="136" t="s">
        <v>183</v>
      </c>
      <c r="H70" s="135" t="s">
        <v>182</v>
      </c>
      <c r="I70" s="135" t="s">
        <v>349</v>
      </c>
      <c r="J70" s="137">
        <v>1243971.5</v>
      </c>
    </row>
    <row r="71" spans="4:11" x14ac:dyDescent="0.3">
      <c r="D71" s="135">
        <v>1</v>
      </c>
      <c r="E71" s="136" t="s">
        <v>184</v>
      </c>
      <c r="F71" s="160" t="s">
        <v>181</v>
      </c>
      <c r="G71" s="136" t="s">
        <v>186</v>
      </c>
      <c r="H71" s="135" t="s">
        <v>185</v>
      </c>
      <c r="I71" s="135" t="s">
        <v>349</v>
      </c>
      <c r="J71" s="137">
        <v>1042447.89</v>
      </c>
    </row>
    <row r="72" spans="4:11" x14ac:dyDescent="0.3">
      <c r="D72" s="135">
        <v>1</v>
      </c>
      <c r="E72" s="136" t="s">
        <v>190</v>
      </c>
      <c r="F72" s="135" t="s">
        <v>191</v>
      </c>
      <c r="G72" s="136" t="s">
        <v>193</v>
      </c>
      <c r="H72" s="135" t="s">
        <v>192</v>
      </c>
      <c r="I72" s="135" t="s">
        <v>349</v>
      </c>
      <c r="J72" s="137">
        <v>490400</v>
      </c>
    </row>
    <row r="73" spans="4:11" x14ac:dyDescent="0.3">
      <c r="D73" s="135">
        <v>1</v>
      </c>
      <c r="E73" s="136" t="s">
        <v>203</v>
      </c>
      <c r="F73" s="135" t="s">
        <v>181</v>
      </c>
      <c r="G73" s="136" t="s">
        <v>205</v>
      </c>
      <c r="H73" s="135" t="s">
        <v>204</v>
      </c>
      <c r="I73" s="135" t="s">
        <v>349</v>
      </c>
      <c r="J73" s="137">
        <v>650000.72</v>
      </c>
    </row>
    <row r="74" spans="4:11" x14ac:dyDescent="0.3">
      <c r="D74" s="135">
        <v>1</v>
      </c>
      <c r="E74" s="136" t="s">
        <v>206</v>
      </c>
      <c r="F74" s="163" t="s">
        <v>181</v>
      </c>
      <c r="G74" s="136" t="s">
        <v>208</v>
      </c>
      <c r="H74" s="135" t="s">
        <v>207</v>
      </c>
      <c r="I74" s="135" t="s">
        <v>349</v>
      </c>
      <c r="J74" s="137">
        <v>327811.46999999997</v>
      </c>
    </row>
    <row r="75" spans="4:11" x14ac:dyDescent="0.3">
      <c r="D75" s="135">
        <v>1</v>
      </c>
      <c r="E75" s="136" t="s">
        <v>211</v>
      </c>
      <c r="F75" s="135" t="s">
        <v>181</v>
      </c>
      <c r="G75" s="136" t="s">
        <v>212</v>
      </c>
      <c r="H75" s="135" t="s">
        <v>185</v>
      </c>
      <c r="I75" s="135" t="s">
        <v>349</v>
      </c>
      <c r="J75" s="137">
        <v>750848.62</v>
      </c>
    </row>
    <row r="76" spans="4:11" x14ac:dyDescent="0.3">
      <c r="D76" s="135">
        <v>1</v>
      </c>
      <c r="E76" s="136" t="s">
        <v>219</v>
      </c>
      <c r="F76" s="135" t="s">
        <v>191</v>
      </c>
      <c r="G76" s="136" t="s">
        <v>193</v>
      </c>
      <c r="H76" s="135" t="s">
        <v>220</v>
      </c>
      <c r="I76" s="135" t="s">
        <v>349</v>
      </c>
      <c r="J76" s="137">
        <v>497199.96</v>
      </c>
    </row>
    <row r="77" spans="4:11" ht="15.6" x14ac:dyDescent="0.3">
      <c r="D77" s="138"/>
      <c r="E77" s="138"/>
      <c r="F77" s="138"/>
      <c r="G77" s="138"/>
      <c r="I77" s="122" t="s">
        <v>131</v>
      </c>
      <c r="J77" s="123">
        <f>SUM(J61:J76)</f>
        <v>12433969.990000002</v>
      </c>
    </row>
    <row r="78" spans="4:11" ht="15.6" x14ac:dyDescent="0.3">
      <c r="D78" s="138"/>
      <c r="E78" s="138"/>
      <c r="F78" s="138"/>
      <c r="G78" s="138"/>
      <c r="H78" s="145"/>
      <c r="I78" s="145"/>
      <c r="J78" s="146"/>
    </row>
    <row r="79" spans="4:11" ht="15" x14ac:dyDescent="0.3">
      <c r="D79" s="188" t="s">
        <v>224</v>
      </c>
      <c r="E79" s="138"/>
      <c r="F79" s="138"/>
      <c r="G79" s="138"/>
      <c r="H79" s="138"/>
      <c r="I79" s="138"/>
      <c r="J79" s="139"/>
      <c r="K79" s="140"/>
    </row>
    <row r="80" spans="4:11" ht="2.4" customHeight="1" thickBot="1" x14ac:dyDescent="0.35">
      <c r="D80" s="138"/>
      <c r="E80" s="138"/>
      <c r="F80" s="138"/>
      <c r="G80" s="138"/>
      <c r="H80" s="138"/>
      <c r="I80" s="138"/>
      <c r="J80" s="139"/>
      <c r="K80" s="140"/>
    </row>
    <row r="81" spans="4:11" ht="15.6" thickBot="1" x14ac:dyDescent="0.35">
      <c r="D81" s="191" t="s">
        <v>177</v>
      </c>
      <c r="E81" s="191" t="s">
        <v>178</v>
      </c>
      <c r="F81" s="191" t="s">
        <v>179</v>
      </c>
      <c r="G81" s="191" t="s">
        <v>102</v>
      </c>
      <c r="H81" s="191" t="s">
        <v>321</v>
      </c>
      <c r="I81" s="192" t="s">
        <v>334</v>
      </c>
      <c r="J81" s="193" t="s">
        <v>180</v>
      </c>
    </row>
    <row r="82" spans="4:11" x14ac:dyDescent="0.3">
      <c r="D82" s="160">
        <v>2</v>
      </c>
      <c r="E82" s="189" t="s">
        <v>225</v>
      </c>
      <c r="F82" s="160"/>
      <c r="G82" s="190" t="s">
        <v>225</v>
      </c>
      <c r="H82" s="125"/>
      <c r="I82" s="125"/>
      <c r="J82" s="162">
        <v>3000000</v>
      </c>
    </row>
    <row r="83" spans="4:11" x14ac:dyDescent="0.3">
      <c r="D83" s="135">
        <v>2</v>
      </c>
      <c r="E83" s="158" t="s">
        <v>225</v>
      </c>
      <c r="F83" s="135"/>
      <c r="G83" s="159" t="s">
        <v>225</v>
      </c>
      <c r="H83" s="118"/>
      <c r="I83" s="170"/>
      <c r="J83" s="137">
        <v>1500000</v>
      </c>
    </row>
    <row r="84" spans="4:11" x14ac:dyDescent="0.3">
      <c r="D84" s="135">
        <v>2</v>
      </c>
      <c r="E84" s="158" t="s">
        <v>149</v>
      </c>
      <c r="F84" s="135"/>
      <c r="G84" s="136" t="s">
        <v>226</v>
      </c>
      <c r="H84" s="118"/>
      <c r="I84" s="170"/>
      <c r="J84" s="137">
        <v>2000000</v>
      </c>
    </row>
    <row r="85" spans="4:11" ht="28.8" customHeight="1" x14ac:dyDescent="0.3">
      <c r="D85" s="135">
        <v>2</v>
      </c>
      <c r="E85" s="158" t="s">
        <v>227</v>
      </c>
      <c r="F85" s="135"/>
      <c r="G85" s="144" t="s">
        <v>228</v>
      </c>
      <c r="H85" s="118"/>
      <c r="I85" s="170"/>
      <c r="J85" s="137">
        <v>309062.51</v>
      </c>
    </row>
    <row r="86" spans="4:11" x14ac:dyDescent="0.3">
      <c r="D86" s="135">
        <v>2</v>
      </c>
      <c r="E86" s="158" t="s">
        <v>229</v>
      </c>
      <c r="F86" s="135"/>
      <c r="G86" s="136" t="s">
        <v>230</v>
      </c>
      <c r="H86" s="118"/>
      <c r="I86" s="170"/>
      <c r="J86" s="137">
        <v>493450</v>
      </c>
    </row>
    <row r="87" spans="4:11" x14ac:dyDescent="0.3">
      <c r="D87" s="135">
        <v>2</v>
      </c>
      <c r="E87" s="158" t="s">
        <v>229</v>
      </c>
      <c r="F87" s="135"/>
      <c r="G87" s="136" t="s">
        <v>231</v>
      </c>
      <c r="H87" s="118"/>
      <c r="I87" s="170"/>
      <c r="J87" s="137">
        <v>993850</v>
      </c>
    </row>
    <row r="88" spans="4:11" ht="28.8" x14ac:dyDescent="0.3">
      <c r="D88" s="135">
        <v>2</v>
      </c>
      <c r="E88" s="158" t="s">
        <v>232</v>
      </c>
      <c r="F88" s="135"/>
      <c r="G88" s="144" t="s">
        <v>233</v>
      </c>
      <c r="H88" s="118"/>
      <c r="I88" s="170" t="s">
        <v>344</v>
      </c>
      <c r="J88" s="137">
        <v>415000</v>
      </c>
    </row>
    <row r="89" spans="4:11" x14ac:dyDescent="0.3">
      <c r="D89" s="135">
        <v>2</v>
      </c>
      <c r="E89" s="158" t="s">
        <v>13</v>
      </c>
      <c r="F89" s="135"/>
      <c r="G89" s="136" t="s">
        <v>234</v>
      </c>
      <c r="H89" s="118"/>
      <c r="I89" s="170" t="s">
        <v>344</v>
      </c>
      <c r="J89" s="137">
        <v>276670.96999999997</v>
      </c>
    </row>
    <row r="90" spans="4:11" x14ac:dyDescent="0.3">
      <c r="D90" s="135">
        <v>2</v>
      </c>
      <c r="E90" s="158" t="s">
        <v>225</v>
      </c>
      <c r="F90" s="135"/>
      <c r="G90" s="136" t="s">
        <v>235</v>
      </c>
      <c r="H90" s="118"/>
      <c r="I90" s="170"/>
      <c r="J90" s="137">
        <v>3000000</v>
      </c>
    </row>
    <row r="91" spans="4:11" ht="27" customHeight="1" thickBot="1" x14ac:dyDescent="0.35">
      <c r="D91" s="135">
        <v>2</v>
      </c>
      <c r="E91" s="158" t="s">
        <v>4</v>
      </c>
      <c r="F91" s="135"/>
      <c r="G91" s="144" t="s">
        <v>236</v>
      </c>
      <c r="H91" s="118"/>
      <c r="I91" s="194" t="s">
        <v>345</v>
      </c>
      <c r="J91" s="182">
        <v>3500000</v>
      </c>
    </row>
    <row r="92" spans="4:11" ht="14.4" customHeight="1" thickBot="1" x14ac:dyDescent="0.35">
      <c r="D92" s="131"/>
      <c r="E92" s="131"/>
      <c r="F92" s="131"/>
      <c r="G92" s="131"/>
      <c r="I92" s="195" t="s">
        <v>131</v>
      </c>
      <c r="J92" s="196">
        <f>SUM(J82:J91)</f>
        <v>15488033.48</v>
      </c>
    </row>
    <row r="94" spans="4:11" ht="22.2" customHeight="1" x14ac:dyDescent="0.3">
      <c r="D94" s="157" t="s">
        <v>323</v>
      </c>
      <c r="E94" s="131"/>
      <c r="F94" s="131"/>
      <c r="G94" s="131"/>
      <c r="H94" s="131"/>
      <c r="I94" s="131"/>
      <c r="J94" s="131"/>
      <c r="K94" s="131"/>
    </row>
    <row r="95" spans="4:11" ht="3.6" customHeight="1" thickBot="1" x14ac:dyDescent="0.35">
      <c r="D95" s="131"/>
      <c r="E95" s="131"/>
      <c r="F95" s="131"/>
      <c r="G95" s="131"/>
      <c r="H95" s="131"/>
      <c r="I95" s="131"/>
      <c r="J95" s="131"/>
      <c r="K95" s="131"/>
    </row>
    <row r="96" spans="4:11" ht="15.6" thickBot="1" x14ac:dyDescent="0.35">
      <c r="D96" s="132" t="s">
        <v>177</v>
      </c>
      <c r="E96" s="133" t="s">
        <v>178</v>
      </c>
      <c r="F96" s="133" t="s">
        <v>179</v>
      </c>
      <c r="G96" s="133" t="s">
        <v>102</v>
      </c>
      <c r="H96" s="133" t="s">
        <v>103</v>
      </c>
      <c r="I96" s="167" t="s">
        <v>334</v>
      </c>
      <c r="J96" s="152" t="s">
        <v>180</v>
      </c>
    </row>
    <row r="97" spans="4:10" x14ac:dyDescent="0.3">
      <c r="D97" s="160">
        <v>3</v>
      </c>
      <c r="E97" s="160" t="s">
        <v>6</v>
      </c>
      <c r="F97" s="160" t="s">
        <v>191</v>
      </c>
      <c r="G97" s="161" t="s">
        <v>193</v>
      </c>
      <c r="H97" s="160" t="s">
        <v>192</v>
      </c>
      <c r="I97" s="169" t="s">
        <v>348</v>
      </c>
      <c r="J97" s="162">
        <v>496705.87</v>
      </c>
    </row>
    <row r="98" spans="4:10" x14ac:dyDescent="0.3">
      <c r="D98" s="160">
        <v>3</v>
      </c>
      <c r="E98" s="135" t="s">
        <v>252</v>
      </c>
      <c r="F98" s="135" t="s">
        <v>181</v>
      </c>
      <c r="G98" s="136" t="s">
        <v>254</v>
      </c>
      <c r="H98" s="160" t="s">
        <v>253</v>
      </c>
      <c r="I98" s="169" t="s">
        <v>348</v>
      </c>
      <c r="J98" s="137">
        <v>933365</v>
      </c>
    </row>
    <row r="99" spans="4:10" x14ac:dyDescent="0.3">
      <c r="D99" s="160">
        <v>3</v>
      </c>
      <c r="E99" s="135" t="s">
        <v>325</v>
      </c>
      <c r="F99" s="135" t="s">
        <v>274</v>
      </c>
      <c r="G99" s="136" t="s">
        <v>326</v>
      </c>
      <c r="H99" s="160">
        <v>0</v>
      </c>
      <c r="I99" s="169" t="s">
        <v>348</v>
      </c>
      <c r="J99" s="137">
        <v>150000</v>
      </c>
    </row>
    <row r="100" spans="4:10" x14ac:dyDescent="0.3">
      <c r="D100" s="160">
        <v>3</v>
      </c>
      <c r="E100" s="135" t="s">
        <v>194</v>
      </c>
      <c r="F100" s="163" t="s">
        <v>181</v>
      </c>
      <c r="G100" s="136" t="s">
        <v>257</v>
      </c>
      <c r="H100" s="160" t="s">
        <v>256</v>
      </c>
      <c r="I100" s="169" t="s">
        <v>348</v>
      </c>
      <c r="J100" s="137">
        <v>878808.24</v>
      </c>
    </row>
    <row r="101" spans="4:10" x14ac:dyDescent="0.3">
      <c r="D101" s="160">
        <v>3</v>
      </c>
      <c r="E101" s="135" t="s">
        <v>258</v>
      </c>
      <c r="F101" s="135" t="s">
        <v>181</v>
      </c>
      <c r="G101" s="136" t="s">
        <v>257</v>
      </c>
      <c r="H101" s="160" t="s">
        <v>259</v>
      </c>
      <c r="I101" s="169" t="s">
        <v>348</v>
      </c>
      <c r="J101" s="137">
        <v>829718.98</v>
      </c>
    </row>
    <row r="102" spans="4:10" x14ac:dyDescent="0.3">
      <c r="D102" s="160">
        <v>3</v>
      </c>
      <c r="E102" s="135" t="s">
        <v>309</v>
      </c>
      <c r="F102" s="135" t="s">
        <v>328</v>
      </c>
      <c r="G102" s="136" t="s">
        <v>329</v>
      </c>
      <c r="H102" s="160" t="s">
        <v>330</v>
      </c>
      <c r="I102" s="169" t="s">
        <v>348</v>
      </c>
      <c r="J102" s="137">
        <v>1618242.16</v>
      </c>
    </row>
    <row r="103" spans="4:10" x14ac:dyDescent="0.3">
      <c r="D103" s="160">
        <v>3</v>
      </c>
      <c r="E103" s="135" t="s">
        <v>260</v>
      </c>
      <c r="F103" s="135" t="s">
        <v>181</v>
      </c>
      <c r="G103" s="136" t="s">
        <v>262</v>
      </c>
      <c r="H103" s="160" t="s">
        <v>261</v>
      </c>
      <c r="I103" s="169" t="s">
        <v>348</v>
      </c>
      <c r="J103" s="137">
        <v>552987</v>
      </c>
    </row>
    <row r="104" spans="4:10" x14ac:dyDescent="0.3">
      <c r="D104" s="160">
        <v>3</v>
      </c>
      <c r="E104" s="135" t="s">
        <v>263</v>
      </c>
      <c r="F104" s="135" t="s">
        <v>191</v>
      </c>
      <c r="G104" s="136" t="s">
        <v>193</v>
      </c>
      <c r="H104" s="160" t="s">
        <v>192</v>
      </c>
      <c r="I104" s="169" t="s">
        <v>348</v>
      </c>
      <c r="J104" s="137">
        <v>496705.87</v>
      </c>
    </row>
    <row r="105" spans="4:10" x14ac:dyDescent="0.3">
      <c r="D105" s="153">
        <v>3</v>
      </c>
      <c r="E105" s="135" t="s">
        <v>290</v>
      </c>
      <c r="F105" s="135" t="s">
        <v>181</v>
      </c>
      <c r="G105" s="136" t="s">
        <v>292</v>
      </c>
      <c r="H105" s="153" t="s">
        <v>291</v>
      </c>
      <c r="I105" s="169" t="s">
        <v>348</v>
      </c>
      <c r="J105" s="137">
        <v>4543923.28</v>
      </c>
    </row>
    <row r="106" spans="4:10" x14ac:dyDescent="0.3">
      <c r="D106" s="165">
        <v>3</v>
      </c>
      <c r="E106" s="135" t="s">
        <v>23</v>
      </c>
      <c r="F106" s="135" t="s">
        <v>300</v>
      </c>
      <c r="G106" s="136" t="s">
        <v>331</v>
      </c>
      <c r="H106" s="165" t="s">
        <v>332</v>
      </c>
      <c r="I106" s="169" t="s">
        <v>348</v>
      </c>
      <c r="J106" s="137">
        <v>3328027.12</v>
      </c>
    </row>
    <row r="107" spans="4:10" x14ac:dyDescent="0.3">
      <c r="D107" s="160">
        <v>3</v>
      </c>
      <c r="E107" s="135" t="s">
        <v>264</v>
      </c>
      <c r="F107" s="135" t="s">
        <v>181</v>
      </c>
      <c r="G107" s="136" t="s">
        <v>266</v>
      </c>
      <c r="H107" s="160" t="s">
        <v>265</v>
      </c>
      <c r="I107" s="169" t="s">
        <v>348</v>
      </c>
      <c r="J107" s="137">
        <v>945208.63</v>
      </c>
    </row>
    <row r="108" spans="4:10" x14ac:dyDescent="0.3">
      <c r="D108" s="160">
        <v>3</v>
      </c>
      <c r="E108" s="135" t="s">
        <v>267</v>
      </c>
      <c r="F108" s="135" t="s">
        <v>181</v>
      </c>
      <c r="G108" s="136" t="s">
        <v>269</v>
      </c>
      <c r="H108" s="160" t="s">
        <v>268</v>
      </c>
      <c r="I108" s="169" t="s">
        <v>348</v>
      </c>
      <c r="J108" s="137">
        <v>603731.81999999995</v>
      </c>
    </row>
    <row r="109" spans="4:10" x14ac:dyDescent="0.3">
      <c r="D109" s="160">
        <v>3</v>
      </c>
      <c r="E109" s="135" t="s">
        <v>79</v>
      </c>
      <c r="F109" s="135" t="s">
        <v>181</v>
      </c>
      <c r="G109" s="136" t="s">
        <v>352</v>
      </c>
      <c r="H109" s="160" t="s">
        <v>333</v>
      </c>
      <c r="I109" s="169" t="s">
        <v>348</v>
      </c>
      <c r="J109" s="137">
        <v>726450</v>
      </c>
    </row>
    <row r="110" spans="4:10" x14ac:dyDescent="0.3">
      <c r="D110" s="160">
        <v>3</v>
      </c>
      <c r="E110" s="135" t="s">
        <v>270</v>
      </c>
      <c r="F110" s="160" t="s">
        <v>181</v>
      </c>
      <c r="G110" s="136" t="s">
        <v>272</v>
      </c>
      <c r="H110" s="160" t="s">
        <v>271</v>
      </c>
      <c r="I110" s="169" t="s">
        <v>348</v>
      </c>
      <c r="J110" s="137">
        <v>752115</v>
      </c>
    </row>
    <row r="111" spans="4:10" x14ac:dyDescent="0.3">
      <c r="D111" s="160">
        <v>3</v>
      </c>
      <c r="E111" s="135" t="s">
        <v>273</v>
      </c>
      <c r="F111" s="135" t="s">
        <v>274</v>
      </c>
      <c r="G111" s="136" t="s">
        <v>276</v>
      </c>
      <c r="H111" s="153" t="s">
        <v>275</v>
      </c>
      <c r="I111" s="169" t="s">
        <v>348</v>
      </c>
      <c r="J111" s="137">
        <v>800000</v>
      </c>
    </row>
    <row r="112" spans="4:10" x14ac:dyDescent="0.3">
      <c r="D112" s="160">
        <v>3</v>
      </c>
      <c r="E112" s="135" t="s">
        <v>279</v>
      </c>
      <c r="F112" s="135" t="s">
        <v>280</v>
      </c>
      <c r="G112" s="136" t="s">
        <v>281</v>
      </c>
      <c r="H112" s="153" t="s">
        <v>277</v>
      </c>
      <c r="I112" s="174" t="s">
        <v>351</v>
      </c>
      <c r="J112" s="137">
        <v>500000</v>
      </c>
    </row>
    <row r="113" spans="4:11" x14ac:dyDescent="0.3">
      <c r="D113" s="160">
        <v>3</v>
      </c>
      <c r="E113" s="135" t="s">
        <v>282</v>
      </c>
      <c r="F113" s="135" t="s">
        <v>283</v>
      </c>
      <c r="G113" s="136" t="s">
        <v>285</v>
      </c>
      <c r="H113" s="153" t="s">
        <v>284</v>
      </c>
      <c r="I113" s="174" t="s">
        <v>351</v>
      </c>
      <c r="J113" s="137">
        <v>244180</v>
      </c>
    </row>
    <row r="114" spans="4:11" ht="15.6" x14ac:dyDescent="0.3">
      <c r="D114" s="154"/>
      <c r="E114" s="155"/>
      <c r="F114" s="155"/>
      <c r="G114" s="155"/>
      <c r="I114" s="122" t="s">
        <v>131</v>
      </c>
      <c r="J114" s="123">
        <f>SUM(J97:J113)</f>
        <v>18400168.969999999</v>
      </c>
    </row>
    <row r="117" spans="4:11" ht="15.6" x14ac:dyDescent="0.3">
      <c r="D117" s="157" t="s">
        <v>322</v>
      </c>
      <c r="E117" s="138"/>
      <c r="F117" s="138"/>
      <c r="G117" s="138"/>
      <c r="H117" s="156"/>
      <c r="I117" s="156"/>
      <c r="J117" s="139"/>
      <c r="K117" s="140"/>
    </row>
    <row r="118" spans="4:11" ht="3" customHeight="1" thickBot="1" x14ac:dyDescent="0.35">
      <c r="D118" s="156"/>
      <c r="E118" s="138"/>
      <c r="F118" s="138"/>
      <c r="G118" s="138"/>
      <c r="H118" s="156"/>
      <c r="I118" s="156"/>
      <c r="J118" s="139"/>
      <c r="K118" s="140"/>
    </row>
    <row r="119" spans="4:11" ht="15.6" thickBot="1" x14ac:dyDescent="0.35">
      <c r="D119" s="132" t="s">
        <v>177</v>
      </c>
      <c r="E119" s="133" t="s">
        <v>178</v>
      </c>
      <c r="F119" s="133" t="s">
        <v>179</v>
      </c>
      <c r="G119" s="133" t="s">
        <v>102</v>
      </c>
      <c r="H119" s="133" t="s">
        <v>103</v>
      </c>
      <c r="I119" s="166" t="s">
        <v>334</v>
      </c>
      <c r="J119" s="134" t="s">
        <v>180</v>
      </c>
    </row>
    <row r="120" spans="4:11" x14ac:dyDescent="0.3">
      <c r="D120" s="153">
        <v>4</v>
      </c>
      <c r="E120" s="135" t="s">
        <v>293</v>
      </c>
      <c r="F120" s="135" t="s">
        <v>294</v>
      </c>
      <c r="G120" s="135" t="s">
        <v>193</v>
      </c>
      <c r="H120" s="153" t="s">
        <v>277</v>
      </c>
      <c r="I120" s="169" t="s">
        <v>350</v>
      </c>
      <c r="J120" s="137">
        <v>496705.87</v>
      </c>
    </row>
    <row r="121" spans="4:11" x14ac:dyDescent="0.3">
      <c r="D121" s="153">
        <v>4</v>
      </c>
      <c r="E121" s="135" t="s">
        <v>295</v>
      </c>
      <c r="F121" s="135" t="s">
        <v>181</v>
      </c>
      <c r="G121" s="135" t="s">
        <v>296</v>
      </c>
      <c r="H121" s="153" t="s">
        <v>277</v>
      </c>
      <c r="I121" s="169" t="s">
        <v>350</v>
      </c>
      <c r="J121" s="137">
        <v>700000</v>
      </c>
    </row>
    <row r="122" spans="4:11" x14ac:dyDescent="0.3">
      <c r="D122" s="135">
        <v>4</v>
      </c>
      <c r="E122" s="135" t="s">
        <v>11</v>
      </c>
      <c r="F122" s="135" t="s">
        <v>288</v>
      </c>
      <c r="G122" s="135" t="s">
        <v>289</v>
      </c>
      <c r="H122" s="153" t="s">
        <v>277</v>
      </c>
      <c r="I122" s="169" t="s">
        <v>350</v>
      </c>
      <c r="J122" s="137">
        <v>2000000</v>
      </c>
    </row>
    <row r="123" spans="4:11" x14ac:dyDescent="0.3">
      <c r="D123" s="153">
        <v>4</v>
      </c>
      <c r="E123" s="135" t="s">
        <v>297</v>
      </c>
      <c r="F123" s="135" t="s">
        <v>181</v>
      </c>
      <c r="G123" s="135" t="s">
        <v>298</v>
      </c>
      <c r="H123" s="153" t="s">
        <v>277</v>
      </c>
      <c r="I123" s="169" t="s">
        <v>350</v>
      </c>
      <c r="J123" s="137">
        <v>0</v>
      </c>
    </row>
    <row r="124" spans="4:11" x14ac:dyDescent="0.3">
      <c r="D124" s="153">
        <v>4</v>
      </c>
      <c r="E124" s="135" t="s">
        <v>299</v>
      </c>
      <c r="F124" s="135" t="s">
        <v>300</v>
      </c>
      <c r="G124" s="135" t="s">
        <v>301</v>
      </c>
      <c r="H124" s="153" t="s">
        <v>277</v>
      </c>
      <c r="I124" s="169" t="s">
        <v>350</v>
      </c>
      <c r="J124" s="137">
        <v>0</v>
      </c>
    </row>
    <row r="125" spans="4:11" x14ac:dyDescent="0.3">
      <c r="D125" s="153">
        <v>4</v>
      </c>
      <c r="E125" s="175" t="s">
        <v>13</v>
      </c>
      <c r="F125" s="135" t="s">
        <v>181</v>
      </c>
      <c r="G125" s="135" t="s">
        <v>296</v>
      </c>
      <c r="H125" s="153" t="s">
        <v>277</v>
      </c>
      <c r="I125" s="169" t="s">
        <v>350</v>
      </c>
      <c r="J125" s="137">
        <v>750000</v>
      </c>
    </row>
    <row r="126" spans="4:11" x14ac:dyDescent="0.3">
      <c r="D126" s="153">
        <v>4</v>
      </c>
      <c r="E126" s="175" t="s">
        <v>13</v>
      </c>
      <c r="F126" s="135" t="s">
        <v>280</v>
      </c>
      <c r="G126" s="135" t="s">
        <v>354</v>
      </c>
      <c r="H126" s="153" t="s">
        <v>277</v>
      </c>
      <c r="I126" s="169" t="s">
        <v>350</v>
      </c>
      <c r="J126" s="137">
        <v>750000</v>
      </c>
    </row>
    <row r="127" spans="4:11" x14ac:dyDescent="0.3">
      <c r="D127" s="153">
        <v>4</v>
      </c>
      <c r="E127" s="175" t="s">
        <v>13</v>
      </c>
      <c r="F127" s="135" t="s">
        <v>280</v>
      </c>
      <c r="G127" s="135" t="s">
        <v>353</v>
      </c>
      <c r="H127" s="153" t="s">
        <v>277</v>
      </c>
      <c r="I127" s="169" t="s">
        <v>350</v>
      </c>
      <c r="J127" s="137">
        <v>1500000</v>
      </c>
    </row>
    <row r="128" spans="4:11" x14ac:dyDescent="0.3">
      <c r="D128" s="153">
        <v>4</v>
      </c>
      <c r="E128" s="135" t="s">
        <v>302</v>
      </c>
      <c r="F128" s="135" t="s">
        <v>181</v>
      </c>
      <c r="G128" s="135" t="s">
        <v>303</v>
      </c>
      <c r="H128" s="153" t="s">
        <v>277</v>
      </c>
      <c r="I128" s="169" t="s">
        <v>350</v>
      </c>
      <c r="J128" s="137">
        <v>560000</v>
      </c>
    </row>
    <row r="129" spans="4:10" x14ac:dyDescent="0.3">
      <c r="D129" s="153">
        <v>4</v>
      </c>
      <c r="E129" s="135" t="s">
        <v>304</v>
      </c>
      <c r="F129" s="135" t="s">
        <v>181</v>
      </c>
      <c r="G129" s="135" t="s">
        <v>305</v>
      </c>
      <c r="H129" s="153" t="s">
        <v>277</v>
      </c>
      <c r="I129" s="169" t="s">
        <v>350</v>
      </c>
      <c r="J129" s="137">
        <v>500000</v>
      </c>
    </row>
    <row r="130" spans="4:10" x14ac:dyDescent="0.3">
      <c r="D130" s="153">
        <v>4</v>
      </c>
      <c r="E130" s="135" t="s">
        <v>306</v>
      </c>
      <c r="F130" s="135" t="s">
        <v>181</v>
      </c>
      <c r="G130" s="135" t="s">
        <v>296</v>
      </c>
      <c r="H130" s="153" t="s">
        <v>277</v>
      </c>
      <c r="I130" s="169" t="s">
        <v>350</v>
      </c>
      <c r="J130" s="137">
        <v>700000</v>
      </c>
    </row>
    <row r="131" spans="4:10" x14ac:dyDescent="0.3">
      <c r="D131" s="165">
        <v>4</v>
      </c>
      <c r="E131" s="135" t="s">
        <v>306</v>
      </c>
      <c r="F131" s="135" t="s">
        <v>294</v>
      </c>
      <c r="G131" s="135" t="s">
        <v>193</v>
      </c>
      <c r="H131" s="153" t="s">
        <v>277</v>
      </c>
      <c r="I131" s="169" t="s">
        <v>350</v>
      </c>
      <c r="J131" s="137">
        <v>496705.87</v>
      </c>
    </row>
    <row r="132" spans="4:10" x14ac:dyDescent="0.3">
      <c r="D132" s="165">
        <v>4</v>
      </c>
      <c r="E132" s="135" t="s">
        <v>307</v>
      </c>
      <c r="F132" s="135" t="s">
        <v>181</v>
      </c>
      <c r="G132" s="135" t="s">
        <v>308</v>
      </c>
      <c r="H132" s="153" t="s">
        <v>277</v>
      </c>
      <c r="I132" s="169" t="s">
        <v>350</v>
      </c>
      <c r="J132" s="137">
        <v>980000</v>
      </c>
    </row>
    <row r="133" spans="4:10" x14ac:dyDescent="0.3">
      <c r="D133" s="165">
        <v>4</v>
      </c>
      <c r="E133" s="175" t="s">
        <v>355</v>
      </c>
      <c r="F133" s="135" t="s">
        <v>181</v>
      </c>
      <c r="G133" s="135" t="s">
        <v>296</v>
      </c>
      <c r="H133" s="153" t="s">
        <v>277</v>
      </c>
      <c r="I133" s="169" t="s">
        <v>350</v>
      </c>
      <c r="J133" s="137">
        <v>750000</v>
      </c>
    </row>
    <row r="134" spans="4:10" x14ac:dyDescent="0.3">
      <c r="D134" s="153">
        <v>4</v>
      </c>
      <c r="E134" s="135" t="s">
        <v>309</v>
      </c>
      <c r="F134" s="135" t="s">
        <v>181</v>
      </c>
      <c r="G134" s="135" t="s">
        <v>310</v>
      </c>
      <c r="H134" s="153" t="s">
        <v>277</v>
      </c>
      <c r="I134" s="169" t="s">
        <v>350</v>
      </c>
      <c r="J134" s="137">
        <v>800000</v>
      </c>
    </row>
    <row r="135" spans="4:10" x14ac:dyDescent="0.3">
      <c r="D135" s="135">
        <v>4</v>
      </c>
      <c r="E135" s="135" t="s">
        <v>258</v>
      </c>
      <c r="F135" s="163" t="s">
        <v>181</v>
      </c>
      <c r="G135" s="135" t="s">
        <v>278</v>
      </c>
      <c r="H135" s="153" t="s">
        <v>277</v>
      </c>
      <c r="I135" s="169" t="s">
        <v>350</v>
      </c>
      <c r="J135" s="137">
        <v>522000</v>
      </c>
    </row>
    <row r="136" spans="4:10" x14ac:dyDescent="0.3">
      <c r="D136" s="165">
        <v>4</v>
      </c>
      <c r="E136" s="135" t="s">
        <v>95</v>
      </c>
      <c r="F136" s="135" t="s">
        <v>181</v>
      </c>
      <c r="G136" s="135" t="s">
        <v>311</v>
      </c>
      <c r="H136" s="153" t="s">
        <v>277</v>
      </c>
      <c r="I136" s="169" t="s">
        <v>350</v>
      </c>
      <c r="J136" s="137">
        <v>4350000</v>
      </c>
    </row>
    <row r="137" spans="4:10" x14ac:dyDescent="0.3">
      <c r="D137" s="153">
        <v>4</v>
      </c>
      <c r="E137" s="135" t="s">
        <v>312</v>
      </c>
      <c r="F137" s="135" t="s">
        <v>181</v>
      </c>
      <c r="G137" s="135" t="s">
        <v>199</v>
      </c>
      <c r="H137" s="153" t="s">
        <v>277</v>
      </c>
      <c r="I137" s="169" t="s">
        <v>350</v>
      </c>
      <c r="J137" s="137">
        <v>420000</v>
      </c>
    </row>
    <row r="138" spans="4:10" x14ac:dyDescent="0.3">
      <c r="D138" s="153">
        <v>4</v>
      </c>
      <c r="E138" s="135" t="s">
        <v>313</v>
      </c>
      <c r="F138" s="135" t="s">
        <v>181</v>
      </c>
      <c r="G138" s="135" t="s">
        <v>310</v>
      </c>
      <c r="H138" s="153" t="s">
        <v>277</v>
      </c>
      <c r="I138" s="169" t="s">
        <v>350</v>
      </c>
      <c r="J138" s="137">
        <v>870000</v>
      </c>
    </row>
    <row r="139" spans="4:10" x14ac:dyDescent="0.3">
      <c r="D139" s="153">
        <v>4</v>
      </c>
      <c r="E139" s="135" t="s">
        <v>317</v>
      </c>
      <c r="F139" s="135" t="s">
        <v>181</v>
      </c>
      <c r="G139" s="135" t="s">
        <v>318</v>
      </c>
      <c r="H139" s="153" t="s">
        <v>277</v>
      </c>
      <c r="I139" s="169" t="s">
        <v>350</v>
      </c>
      <c r="J139" s="137">
        <v>448000</v>
      </c>
    </row>
    <row r="140" spans="4:10" x14ac:dyDescent="0.3">
      <c r="D140" s="153">
        <v>4</v>
      </c>
      <c r="E140" s="135" t="s">
        <v>282</v>
      </c>
      <c r="F140" s="135" t="s">
        <v>294</v>
      </c>
      <c r="G140" s="135" t="s">
        <v>193</v>
      </c>
      <c r="H140" s="153" t="s">
        <v>277</v>
      </c>
      <c r="I140" s="169" t="s">
        <v>350</v>
      </c>
      <c r="J140" s="137">
        <v>496705.87</v>
      </c>
    </row>
    <row r="141" spans="4:10" x14ac:dyDescent="0.3">
      <c r="D141" s="153">
        <v>4</v>
      </c>
      <c r="E141" s="135" t="s">
        <v>319</v>
      </c>
      <c r="F141" s="135" t="s">
        <v>181</v>
      </c>
      <c r="G141" s="135" t="s">
        <v>285</v>
      </c>
      <c r="H141" s="153" t="s">
        <v>277</v>
      </c>
      <c r="I141" s="169" t="s">
        <v>350</v>
      </c>
      <c r="J141" s="137">
        <v>0</v>
      </c>
    </row>
    <row r="142" spans="4:10" x14ac:dyDescent="0.3">
      <c r="D142" s="153">
        <v>4</v>
      </c>
      <c r="E142" s="135" t="s">
        <v>320</v>
      </c>
      <c r="F142" s="135" t="s">
        <v>181</v>
      </c>
      <c r="G142" s="135" t="s">
        <v>346</v>
      </c>
      <c r="H142" s="153" t="s">
        <v>277</v>
      </c>
      <c r="I142" s="169" t="s">
        <v>350</v>
      </c>
      <c r="J142" s="137">
        <v>1400000</v>
      </c>
    </row>
    <row r="143" spans="4:10" x14ac:dyDescent="0.3">
      <c r="D143" s="135">
        <v>4</v>
      </c>
      <c r="E143" s="135" t="s">
        <v>286</v>
      </c>
      <c r="F143" s="135" t="s">
        <v>181</v>
      </c>
      <c r="G143" s="135" t="s">
        <v>287</v>
      </c>
      <c r="H143" s="153" t="s">
        <v>277</v>
      </c>
      <c r="I143" s="169" t="s">
        <v>350</v>
      </c>
      <c r="J143" s="137">
        <v>1500000</v>
      </c>
    </row>
    <row r="144" spans="4:10" x14ac:dyDescent="0.3">
      <c r="D144" s="153">
        <v>4</v>
      </c>
      <c r="E144" s="175" t="s">
        <v>314</v>
      </c>
      <c r="F144" s="135" t="s">
        <v>181</v>
      </c>
      <c r="G144" s="135" t="s">
        <v>255</v>
      </c>
      <c r="H144" s="153" t="s">
        <v>277</v>
      </c>
      <c r="I144" s="169" t="s">
        <v>350</v>
      </c>
      <c r="J144" s="137">
        <v>0</v>
      </c>
    </row>
    <row r="145" spans="4:10" x14ac:dyDescent="0.3">
      <c r="D145" s="153">
        <v>4</v>
      </c>
      <c r="E145" s="175" t="s">
        <v>316</v>
      </c>
      <c r="F145" s="135" t="s">
        <v>181</v>
      </c>
      <c r="G145" s="135" t="s">
        <v>255</v>
      </c>
      <c r="H145" s="153" t="s">
        <v>277</v>
      </c>
      <c r="I145" s="169" t="s">
        <v>350</v>
      </c>
      <c r="J145" s="137">
        <v>0</v>
      </c>
    </row>
    <row r="146" spans="4:10" x14ac:dyDescent="0.3">
      <c r="D146" s="153">
        <v>4</v>
      </c>
      <c r="E146" s="135" t="s">
        <v>315</v>
      </c>
      <c r="F146" s="135" t="s">
        <v>181</v>
      </c>
      <c r="G146" s="135" t="s">
        <v>255</v>
      </c>
      <c r="H146" s="153" t="s">
        <v>277</v>
      </c>
      <c r="I146" s="169" t="s">
        <v>350</v>
      </c>
      <c r="J146" s="137">
        <v>0</v>
      </c>
    </row>
    <row r="147" spans="4:10" ht="15.6" x14ac:dyDescent="0.3">
      <c r="D147" s="156"/>
      <c r="E147" s="138"/>
      <c r="F147" s="138"/>
      <c r="G147" s="138"/>
      <c r="I147" s="122" t="s">
        <v>131</v>
      </c>
      <c r="J147" s="123">
        <f>SUM(J105:J146)</f>
        <v>51833922.429999992</v>
      </c>
    </row>
    <row r="150" spans="4:10" x14ac:dyDescent="0.3">
      <c r="E150" t="s">
        <v>356</v>
      </c>
      <c r="F150" s="72">
        <v>500000</v>
      </c>
    </row>
    <row r="151" spans="4:10" x14ac:dyDescent="0.3">
      <c r="E151" t="s">
        <v>357</v>
      </c>
      <c r="F151" s="72">
        <v>500000</v>
      </c>
    </row>
    <row r="152" spans="4:10" x14ac:dyDescent="0.3">
      <c r="E152" t="s">
        <v>358</v>
      </c>
      <c r="F152" s="72">
        <v>500000</v>
      </c>
    </row>
    <row r="153" spans="4:10" x14ac:dyDescent="0.3">
      <c r="E153" t="s">
        <v>359</v>
      </c>
      <c r="F153" s="72">
        <v>500000</v>
      </c>
    </row>
    <row r="154" spans="4:10" x14ac:dyDescent="0.3">
      <c r="E154" t="s">
        <v>360</v>
      </c>
      <c r="F154" s="72">
        <v>500000</v>
      </c>
    </row>
    <row r="155" spans="4:10" x14ac:dyDescent="0.3">
      <c r="E155" t="s">
        <v>361</v>
      </c>
      <c r="F155" s="72">
        <v>500000</v>
      </c>
    </row>
    <row r="156" spans="4:10" x14ac:dyDescent="0.3">
      <c r="E156" s="176" t="s">
        <v>362</v>
      </c>
      <c r="F156" s="72">
        <v>500000</v>
      </c>
    </row>
    <row r="157" spans="4:10" x14ac:dyDescent="0.3">
      <c r="F157" s="177">
        <f>SUM(F150:F156)</f>
        <v>3500000</v>
      </c>
    </row>
    <row r="161" spans="4:8" x14ac:dyDescent="0.3">
      <c r="E161" t="s">
        <v>363</v>
      </c>
      <c r="F161" s="72">
        <v>500000</v>
      </c>
    </row>
    <row r="162" spans="4:8" x14ac:dyDescent="0.3">
      <c r="E162" t="s">
        <v>364</v>
      </c>
      <c r="F162" s="72">
        <v>500000</v>
      </c>
    </row>
    <row r="163" spans="4:8" x14ac:dyDescent="0.3">
      <c r="E163" t="s">
        <v>365</v>
      </c>
      <c r="F163" s="72">
        <v>500000</v>
      </c>
    </row>
    <row r="164" spans="4:8" x14ac:dyDescent="0.3">
      <c r="D164" s="71" t="s">
        <v>372</v>
      </c>
      <c r="E164" t="s">
        <v>366</v>
      </c>
      <c r="F164" s="178">
        <v>1000000</v>
      </c>
      <c r="G164" s="178">
        <v>300000</v>
      </c>
      <c r="H164" s="71" t="s">
        <v>368</v>
      </c>
    </row>
    <row r="165" spans="4:8" x14ac:dyDescent="0.3">
      <c r="E165" t="s">
        <v>367</v>
      </c>
      <c r="F165" s="72">
        <v>750000</v>
      </c>
      <c r="G165" t="s">
        <v>371</v>
      </c>
    </row>
    <row r="166" spans="4:8" x14ac:dyDescent="0.3">
      <c r="D166" s="71" t="s">
        <v>373</v>
      </c>
      <c r="E166" t="s">
        <v>369</v>
      </c>
      <c r="F166" s="72">
        <v>500000</v>
      </c>
    </row>
    <row r="167" spans="4:8" x14ac:dyDescent="0.3">
      <c r="E167" t="s">
        <v>370</v>
      </c>
      <c r="F167" s="72">
        <v>500000</v>
      </c>
    </row>
    <row r="168" spans="4:8" x14ac:dyDescent="0.3">
      <c r="E168" t="s">
        <v>374</v>
      </c>
      <c r="F168" s="72">
        <v>500000</v>
      </c>
    </row>
    <row r="169" spans="4:8" x14ac:dyDescent="0.3">
      <c r="F169" s="177">
        <f>SUM(F161:F168)</f>
        <v>4750000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E8D1-FE0A-49B2-8A47-5067CCE331B8}">
  <sheetPr>
    <pageSetUpPr fitToPage="1"/>
  </sheetPr>
  <dimension ref="A1:N57"/>
  <sheetViews>
    <sheetView showGridLines="0" tabSelected="1" zoomScale="90" zoomScaleNormal="90" workbookViewId="0">
      <selection activeCell="D58" sqref="D58"/>
    </sheetView>
  </sheetViews>
  <sheetFormatPr defaultRowHeight="14.4" x14ac:dyDescent="0.3"/>
  <cols>
    <col min="1" max="1" width="17.88671875" customWidth="1"/>
    <col min="2" max="2" width="29.6640625" hidden="1" customWidth="1"/>
    <col min="3" max="3" width="36.21875" customWidth="1"/>
    <col min="4" max="4" width="12" customWidth="1"/>
    <col min="5" max="5" width="29.5546875" customWidth="1"/>
    <col min="6" max="6" width="22.21875" style="71" bestFit="1" customWidth="1"/>
    <col min="7" max="7" width="24.44140625" customWidth="1"/>
    <col min="8" max="8" width="21.21875" customWidth="1"/>
    <col min="9" max="9" width="20.109375" style="72" bestFit="1" customWidth="1"/>
    <col min="10" max="11" width="19.109375" style="72" customWidth="1"/>
    <col min="12" max="12" width="21.21875" customWidth="1"/>
    <col min="13" max="13" width="12.5546875" style="71" customWidth="1"/>
    <col min="14" max="14" width="26.33203125" bestFit="1" customWidth="1"/>
  </cols>
  <sheetData>
    <row r="1" spans="1:14" ht="15" x14ac:dyDescent="0.3">
      <c r="A1" s="142"/>
      <c r="N1" s="71"/>
    </row>
    <row r="2" spans="1:14" ht="9" customHeight="1" x14ac:dyDescent="0.3">
      <c r="A2" s="71"/>
      <c r="N2" s="71"/>
    </row>
    <row r="3" spans="1:14" ht="15" hidden="1" thickBot="1" x14ac:dyDescent="0.35">
      <c r="A3" s="129" t="s">
        <v>1</v>
      </c>
      <c r="B3" s="129" t="s">
        <v>2</v>
      </c>
      <c r="C3" s="129" t="s">
        <v>102</v>
      </c>
      <c r="D3" s="129" t="s">
        <v>407</v>
      </c>
      <c r="E3" s="129" t="s">
        <v>103</v>
      </c>
      <c r="F3" s="129"/>
      <c r="G3" s="129" t="s">
        <v>334</v>
      </c>
      <c r="H3" s="130" t="s">
        <v>82</v>
      </c>
      <c r="M3"/>
    </row>
    <row r="4" spans="1:14" hidden="1" x14ac:dyDescent="0.3">
      <c r="A4" s="126" t="s">
        <v>23</v>
      </c>
      <c r="B4" s="126" t="s">
        <v>84</v>
      </c>
      <c r="C4" s="126" t="s">
        <v>111</v>
      </c>
      <c r="D4" s="125"/>
      <c r="E4" s="125" t="s">
        <v>117</v>
      </c>
      <c r="F4" s="125"/>
      <c r="G4" s="168" t="s">
        <v>143</v>
      </c>
      <c r="H4" s="127">
        <v>1406987.08</v>
      </c>
      <c r="M4"/>
    </row>
    <row r="5" spans="1:14" hidden="1" x14ac:dyDescent="0.3">
      <c r="A5" s="119" t="s">
        <v>23</v>
      </c>
      <c r="B5" s="119" t="s">
        <v>84</v>
      </c>
      <c r="C5" s="119" t="s">
        <v>112</v>
      </c>
      <c r="D5" s="118"/>
      <c r="E5" s="118" t="s">
        <v>119</v>
      </c>
      <c r="F5" s="125"/>
      <c r="G5" s="168" t="s">
        <v>143</v>
      </c>
      <c r="H5" s="120">
        <v>442113.46</v>
      </c>
      <c r="M5"/>
    </row>
    <row r="6" spans="1:14" hidden="1" x14ac:dyDescent="0.3">
      <c r="A6" s="119" t="s">
        <v>27</v>
      </c>
      <c r="B6" s="119" t="s">
        <v>86</v>
      </c>
      <c r="C6" s="119" t="s">
        <v>110</v>
      </c>
      <c r="D6" s="118"/>
      <c r="E6" s="118" t="s">
        <v>121</v>
      </c>
      <c r="F6" s="125"/>
      <c r="G6" s="168" t="s">
        <v>143</v>
      </c>
      <c r="H6" s="120">
        <v>1841314.24</v>
      </c>
      <c r="M6"/>
    </row>
    <row r="7" spans="1:14" hidden="1" x14ac:dyDescent="0.3">
      <c r="A7" s="119" t="s">
        <v>19</v>
      </c>
      <c r="B7" s="119" t="s">
        <v>20</v>
      </c>
      <c r="C7" s="119" t="s">
        <v>107</v>
      </c>
      <c r="D7" s="118"/>
      <c r="E7" s="118" t="s">
        <v>123</v>
      </c>
      <c r="F7" s="118"/>
      <c r="G7" s="164" t="s">
        <v>335</v>
      </c>
      <c r="H7" s="120">
        <v>1474215.57</v>
      </c>
      <c r="M7"/>
    </row>
    <row r="8" spans="1:14" hidden="1" x14ac:dyDescent="0.3">
      <c r="A8" s="211" t="s">
        <v>63</v>
      </c>
      <c r="B8" s="119" t="s">
        <v>90</v>
      </c>
      <c r="C8" s="119" t="s">
        <v>128</v>
      </c>
      <c r="D8" s="118"/>
      <c r="E8" s="118" t="s">
        <v>125</v>
      </c>
      <c r="F8" s="118"/>
      <c r="G8" s="169" t="s">
        <v>336</v>
      </c>
      <c r="H8" s="213">
        <v>1001012.24</v>
      </c>
      <c r="M8"/>
    </row>
    <row r="9" spans="1:14" hidden="1" x14ac:dyDescent="0.3">
      <c r="A9" s="197" t="s">
        <v>6</v>
      </c>
      <c r="B9" s="197" t="s">
        <v>97</v>
      </c>
      <c r="C9" s="197" t="s">
        <v>139</v>
      </c>
      <c r="D9" s="199" t="s">
        <v>411</v>
      </c>
      <c r="E9" s="199" t="s">
        <v>138</v>
      </c>
      <c r="F9" s="199"/>
      <c r="G9" s="169" t="s">
        <v>336</v>
      </c>
      <c r="H9" s="198">
        <v>908033.58</v>
      </c>
      <c r="M9"/>
    </row>
    <row r="10" spans="1:14" hidden="1" x14ac:dyDescent="0.3">
      <c r="A10" s="197" t="s">
        <v>36</v>
      </c>
      <c r="B10" s="197" t="s">
        <v>87</v>
      </c>
      <c r="C10" s="197" t="s">
        <v>108</v>
      </c>
      <c r="D10" s="199" t="s">
        <v>411</v>
      </c>
      <c r="E10" s="199" t="s">
        <v>412</v>
      </c>
      <c r="F10" s="199"/>
      <c r="G10" s="169" t="s">
        <v>336</v>
      </c>
      <c r="H10" s="198">
        <v>950657.62</v>
      </c>
      <c r="M10"/>
    </row>
    <row r="11" spans="1:14" hidden="1" x14ac:dyDescent="0.3">
      <c r="A11" s="197" t="s">
        <v>41</v>
      </c>
      <c r="B11" s="197" t="s">
        <v>130</v>
      </c>
      <c r="C11" s="197" t="s">
        <v>113</v>
      </c>
      <c r="D11" s="199" t="s">
        <v>409</v>
      </c>
      <c r="E11" s="199" t="s">
        <v>120</v>
      </c>
      <c r="F11" s="199"/>
      <c r="G11" s="169" t="s">
        <v>336</v>
      </c>
      <c r="H11" s="198">
        <v>950664.72</v>
      </c>
      <c r="M11"/>
    </row>
    <row r="12" spans="1:14" hidden="1" x14ac:dyDescent="0.3">
      <c r="A12" s="211" t="s">
        <v>68</v>
      </c>
      <c r="B12" s="119" t="s">
        <v>337</v>
      </c>
      <c r="C12" s="119" t="s">
        <v>340</v>
      </c>
      <c r="D12" s="118"/>
      <c r="E12" s="118" t="s">
        <v>249</v>
      </c>
      <c r="F12" s="118"/>
      <c r="G12" s="169" t="s">
        <v>336</v>
      </c>
      <c r="H12" s="213">
        <v>1500000</v>
      </c>
      <c r="M12"/>
    </row>
    <row r="13" spans="1:14" hidden="1" x14ac:dyDescent="0.3">
      <c r="A13" s="211" t="s">
        <v>8</v>
      </c>
      <c r="B13" s="119" t="s">
        <v>338</v>
      </c>
      <c r="C13" s="119" t="s">
        <v>340</v>
      </c>
      <c r="D13" s="118"/>
      <c r="E13" s="118" t="s">
        <v>250</v>
      </c>
      <c r="F13" s="118"/>
      <c r="G13" s="169" t="s">
        <v>336</v>
      </c>
      <c r="H13" s="213">
        <v>1500000</v>
      </c>
      <c r="M13"/>
    </row>
    <row r="14" spans="1:14" hidden="1" x14ac:dyDescent="0.3">
      <c r="A14" s="211" t="s">
        <v>242</v>
      </c>
      <c r="B14" s="119" t="s">
        <v>339</v>
      </c>
      <c r="C14" s="119" t="s">
        <v>341</v>
      </c>
      <c r="D14" s="118"/>
      <c r="E14" s="118" t="s">
        <v>251</v>
      </c>
      <c r="F14" s="118"/>
      <c r="G14" s="169" t="s">
        <v>336</v>
      </c>
      <c r="H14" s="213">
        <v>1000000</v>
      </c>
      <c r="M14"/>
    </row>
    <row r="15" spans="1:14" ht="15.6" hidden="1" x14ac:dyDescent="0.3">
      <c r="A15" s="121"/>
      <c r="B15" s="121"/>
      <c r="C15" s="121"/>
      <c r="D15" s="121"/>
      <c r="E15" s="121"/>
      <c r="F15" s="121"/>
      <c r="G15" s="121"/>
      <c r="H15" s="121"/>
      <c r="I15" s="231"/>
      <c r="J15" s="231"/>
      <c r="K15" s="231"/>
      <c r="L15" s="121"/>
      <c r="N15" s="122" t="s">
        <v>131</v>
      </c>
    </row>
    <row r="16" spans="1:14" hidden="1" x14ac:dyDescent="0.3">
      <c r="A16" s="147"/>
      <c r="B16" s="147"/>
      <c r="C16" s="147"/>
      <c r="D16" s="147"/>
      <c r="E16" s="147"/>
      <c r="F16" s="147"/>
      <c r="G16" s="147"/>
      <c r="H16" s="147"/>
      <c r="I16" s="148"/>
      <c r="J16" s="148"/>
      <c r="K16" s="148"/>
      <c r="L16" s="147"/>
      <c r="N16" s="71"/>
    </row>
    <row r="17" spans="1:14" ht="15" hidden="1" thickBot="1" x14ac:dyDescent="0.35">
      <c r="A17" s="129" t="s">
        <v>1</v>
      </c>
      <c r="B17" s="129" t="s">
        <v>2</v>
      </c>
      <c r="C17" s="129" t="s">
        <v>102</v>
      </c>
      <c r="D17" s="129" t="s">
        <v>407</v>
      </c>
      <c r="E17" s="129" t="s">
        <v>103</v>
      </c>
      <c r="F17" s="129"/>
      <c r="G17" s="129" t="s">
        <v>334</v>
      </c>
      <c r="H17" s="130" t="s">
        <v>82</v>
      </c>
      <c r="M17"/>
    </row>
    <row r="18" spans="1:14" hidden="1" x14ac:dyDescent="0.3">
      <c r="A18" s="211" t="s">
        <v>15</v>
      </c>
      <c r="B18" s="119" t="s">
        <v>85</v>
      </c>
      <c r="C18" s="119" t="s">
        <v>106</v>
      </c>
      <c r="D18" s="118"/>
      <c r="E18" s="118" t="s">
        <v>118</v>
      </c>
      <c r="F18" s="118"/>
      <c r="G18" s="169" t="s">
        <v>336</v>
      </c>
      <c r="H18" s="213">
        <v>175308.48</v>
      </c>
      <c r="M18"/>
    </row>
    <row r="19" spans="1:14" hidden="1" x14ac:dyDescent="0.3">
      <c r="A19" s="212" t="s">
        <v>25</v>
      </c>
      <c r="B19" s="150" t="s">
        <v>60</v>
      </c>
      <c r="C19" s="150" t="s">
        <v>109</v>
      </c>
      <c r="D19" s="170"/>
      <c r="E19" s="170" t="s">
        <v>114</v>
      </c>
      <c r="F19" s="170"/>
      <c r="G19" s="169" t="s">
        <v>336</v>
      </c>
      <c r="H19" s="214">
        <v>1999962.2</v>
      </c>
      <c r="M19"/>
    </row>
    <row r="20" spans="1:14" hidden="1" x14ac:dyDescent="0.3">
      <c r="A20" s="197" t="s">
        <v>67</v>
      </c>
      <c r="B20" s="197" t="s">
        <v>88</v>
      </c>
      <c r="C20" s="197" t="s">
        <v>127</v>
      </c>
      <c r="D20" s="199" t="s">
        <v>409</v>
      </c>
      <c r="E20" s="199" t="s">
        <v>124</v>
      </c>
      <c r="F20" s="199"/>
      <c r="G20" s="169" t="s">
        <v>336</v>
      </c>
      <c r="H20" s="198">
        <v>3416482.25</v>
      </c>
      <c r="M20"/>
    </row>
    <row r="21" spans="1:14" hidden="1" x14ac:dyDescent="0.3">
      <c r="A21" s="197" t="s">
        <v>30</v>
      </c>
      <c r="B21" s="197" t="s">
        <v>89</v>
      </c>
      <c r="C21" s="197" t="s">
        <v>129</v>
      </c>
      <c r="D21" s="199" t="s">
        <v>408</v>
      </c>
      <c r="E21" s="199" t="s">
        <v>126</v>
      </c>
      <c r="F21" s="199"/>
      <c r="G21" s="169" t="s">
        <v>336</v>
      </c>
      <c r="H21" s="198">
        <v>1048606.3500000001</v>
      </c>
      <c r="M21"/>
    </row>
    <row r="22" spans="1:14" hidden="1" x14ac:dyDescent="0.3">
      <c r="A22" s="197" t="s">
        <v>13</v>
      </c>
      <c r="B22" s="197" t="s">
        <v>169</v>
      </c>
      <c r="C22" s="197" t="s">
        <v>137</v>
      </c>
      <c r="D22" s="199" t="s">
        <v>409</v>
      </c>
      <c r="E22" s="199" t="s">
        <v>136</v>
      </c>
      <c r="F22" s="199"/>
      <c r="G22" s="169" t="s">
        <v>336</v>
      </c>
      <c r="H22" s="198">
        <v>1320819.46</v>
      </c>
      <c r="M22"/>
    </row>
    <row r="23" spans="1:14" hidden="1" x14ac:dyDescent="0.3">
      <c r="A23" s="211" t="s">
        <v>78</v>
      </c>
      <c r="B23" s="119" t="s">
        <v>133</v>
      </c>
      <c r="C23" s="119" t="s">
        <v>142</v>
      </c>
      <c r="D23" s="118"/>
      <c r="E23" s="118" t="s">
        <v>170</v>
      </c>
      <c r="F23" s="118"/>
      <c r="G23" s="169" t="s">
        <v>336</v>
      </c>
      <c r="H23" s="213">
        <v>3000000</v>
      </c>
      <c r="M23"/>
    </row>
    <row r="24" spans="1:14" hidden="1" x14ac:dyDescent="0.3">
      <c r="A24" s="211" t="s">
        <v>4</v>
      </c>
      <c r="B24" s="119" t="s">
        <v>93</v>
      </c>
      <c r="C24" s="119" t="s">
        <v>104</v>
      </c>
      <c r="D24" s="118"/>
      <c r="E24" s="118" t="s">
        <v>144</v>
      </c>
      <c r="F24" s="118"/>
      <c r="G24" s="169" t="s">
        <v>336</v>
      </c>
      <c r="H24" s="213">
        <v>6464841.9500000002</v>
      </c>
      <c r="M24"/>
    </row>
    <row r="25" spans="1:14" hidden="1" x14ac:dyDescent="0.3">
      <c r="A25" s="197" t="s">
        <v>134</v>
      </c>
      <c r="B25" s="197" t="s">
        <v>135</v>
      </c>
      <c r="C25" s="197" t="s">
        <v>410</v>
      </c>
      <c r="D25" s="199" t="s">
        <v>409</v>
      </c>
      <c r="E25" s="199" t="s">
        <v>140</v>
      </c>
      <c r="F25" s="199"/>
      <c r="G25" s="169" t="s">
        <v>336</v>
      </c>
      <c r="H25" s="198">
        <v>993340.67</v>
      </c>
      <c r="M25"/>
    </row>
    <row r="26" spans="1:14" hidden="1" x14ac:dyDescent="0.3">
      <c r="A26" s="211" t="s">
        <v>155</v>
      </c>
      <c r="B26" s="119" t="s">
        <v>158</v>
      </c>
      <c r="C26" s="119" t="s">
        <v>104</v>
      </c>
      <c r="D26" s="118"/>
      <c r="E26" s="118" t="s">
        <v>99</v>
      </c>
      <c r="F26" s="118"/>
      <c r="G26" s="118" t="s">
        <v>342</v>
      </c>
      <c r="H26" s="213">
        <v>1000000</v>
      </c>
      <c r="M26"/>
    </row>
    <row r="27" spans="1:14" hidden="1" x14ac:dyDescent="0.3">
      <c r="A27" s="211" t="s">
        <v>156</v>
      </c>
      <c r="B27" s="119" t="s">
        <v>160</v>
      </c>
      <c r="C27" s="119" t="s">
        <v>104</v>
      </c>
      <c r="D27" s="118"/>
      <c r="E27" s="118" t="s">
        <v>99</v>
      </c>
      <c r="F27" s="118"/>
      <c r="G27" s="118" t="s">
        <v>342</v>
      </c>
      <c r="H27" s="213">
        <v>800000</v>
      </c>
      <c r="M27"/>
    </row>
    <row r="28" spans="1:14" hidden="1" x14ac:dyDescent="0.3">
      <c r="A28" s="211" t="s">
        <v>37</v>
      </c>
      <c r="B28" s="119" t="s">
        <v>98</v>
      </c>
      <c r="C28" s="119" t="s">
        <v>104</v>
      </c>
      <c r="D28" s="118"/>
      <c r="E28" s="118" t="s">
        <v>99</v>
      </c>
      <c r="F28" s="118"/>
      <c r="G28" s="118" t="s">
        <v>342</v>
      </c>
      <c r="H28" s="213">
        <v>1000000</v>
      </c>
      <c r="M28"/>
    </row>
    <row r="29" spans="1:14" ht="15.6" x14ac:dyDescent="0.3">
      <c r="A29" s="121"/>
      <c r="B29" s="121"/>
      <c r="C29" s="121"/>
      <c r="D29" s="121"/>
      <c r="E29" s="121"/>
      <c r="F29" s="121"/>
      <c r="G29" s="121"/>
      <c r="H29" s="121"/>
      <c r="I29" s="231"/>
      <c r="J29" s="231"/>
      <c r="K29" s="231"/>
      <c r="L29" s="121"/>
      <c r="M29" s="121"/>
      <c r="N29" s="71"/>
    </row>
    <row r="30" spans="1:14" ht="15.6" x14ac:dyDescent="0.3">
      <c r="A30" s="70" t="s">
        <v>467</v>
      </c>
    </row>
    <row r="31" spans="1:14" ht="2.4" customHeight="1" thickBot="1" x14ac:dyDescent="0.35"/>
    <row r="32" spans="1:14" ht="17.399999999999999" customHeight="1" thickBot="1" x14ac:dyDescent="0.35">
      <c r="A32" s="208" t="s">
        <v>1</v>
      </c>
      <c r="B32" s="208" t="s">
        <v>2</v>
      </c>
      <c r="C32" s="208" t="s">
        <v>102</v>
      </c>
      <c r="D32" s="208" t="s">
        <v>407</v>
      </c>
      <c r="E32" s="208" t="s">
        <v>103</v>
      </c>
      <c r="F32" s="208" t="s">
        <v>471</v>
      </c>
      <c r="G32" s="208" t="s">
        <v>92</v>
      </c>
      <c r="H32" s="208" t="s">
        <v>466</v>
      </c>
      <c r="I32" s="232" t="s">
        <v>468</v>
      </c>
      <c r="J32" s="232" t="s">
        <v>470</v>
      </c>
      <c r="K32" s="232" t="s">
        <v>469</v>
      </c>
      <c r="L32" s="208" t="s">
        <v>82</v>
      </c>
    </row>
    <row r="33" spans="1:12" ht="15" x14ac:dyDescent="0.3">
      <c r="A33" s="200" t="s">
        <v>6</v>
      </c>
      <c r="B33" s="200" t="s">
        <v>97</v>
      </c>
      <c r="C33" s="201" t="s">
        <v>139</v>
      </c>
      <c r="D33" s="201" t="s">
        <v>411</v>
      </c>
      <c r="E33" s="201" t="s">
        <v>138</v>
      </c>
      <c r="F33" s="201"/>
      <c r="G33" s="201" t="s">
        <v>413</v>
      </c>
      <c r="H33" s="202">
        <v>46048</v>
      </c>
      <c r="I33" s="233"/>
      <c r="J33" s="233"/>
      <c r="K33" s="233"/>
      <c r="L33" s="203">
        <v>908033.58</v>
      </c>
    </row>
    <row r="34" spans="1:12" ht="15" x14ac:dyDescent="0.3">
      <c r="A34" s="204" t="s">
        <v>134</v>
      </c>
      <c r="B34" s="204" t="s">
        <v>135</v>
      </c>
      <c r="C34" s="205" t="s">
        <v>410</v>
      </c>
      <c r="D34" s="205" t="s">
        <v>409</v>
      </c>
      <c r="E34" s="205" t="s">
        <v>140</v>
      </c>
      <c r="F34" s="205"/>
      <c r="G34" s="205" t="s">
        <v>413</v>
      </c>
      <c r="H34" s="206">
        <v>46048</v>
      </c>
      <c r="I34" s="234"/>
      <c r="J34" s="234"/>
      <c r="K34" s="234"/>
      <c r="L34" s="207">
        <v>993340.67</v>
      </c>
    </row>
    <row r="35" spans="1:12" ht="15" x14ac:dyDescent="0.3">
      <c r="A35" s="204" t="s">
        <v>13</v>
      </c>
      <c r="B35" s="204" t="s">
        <v>169</v>
      </c>
      <c r="C35" s="205" t="s">
        <v>137</v>
      </c>
      <c r="D35" s="205" t="s">
        <v>409</v>
      </c>
      <c r="E35" s="205" t="s">
        <v>136</v>
      </c>
      <c r="F35" s="205"/>
      <c r="G35" s="205" t="s">
        <v>413</v>
      </c>
      <c r="H35" s="206">
        <v>46048</v>
      </c>
      <c r="I35" s="234"/>
      <c r="J35" s="234"/>
      <c r="K35" s="234"/>
      <c r="L35" s="207">
        <v>1320819.46</v>
      </c>
    </row>
    <row r="36" spans="1:12" ht="15" x14ac:dyDescent="0.3">
      <c r="A36" s="204" t="s">
        <v>36</v>
      </c>
      <c r="B36" s="204" t="s">
        <v>87</v>
      </c>
      <c r="C36" s="205" t="s">
        <v>108</v>
      </c>
      <c r="D36" s="205" t="s">
        <v>411</v>
      </c>
      <c r="E36" s="205" t="s">
        <v>412</v>
      </c>
      <c r="F36" s="205"/>
      <c r="G36" s="205" t="s">
        <v>413</v>
      </c>
      <c r="H36" s="206">
        <v>46048</v>
      </c>
      <c r="I36" s="234"/>
      <c r="J36" s="234"/>
      <c r="K36" s="234"/>
      <c r="L36" s="207">
        <v>950657.62</v>
      </c>
    </row>
    <row r="37" spans="1:12" ht="15" x14ac:dyDescent="0.3">
      <c r="A37" s="204" t="s">
        <v>67</v>
      </c>
      <c r="B37" s="204" t="s">
        <v>88</v>
      </c>
      <c r="C37" s="205" t="s">
        <v>127</v>
      </c>
      <c r="D37" s="205" t="s">
        <v>409</v>
      </c>
      <c r="E37" s="237" t="s">
        <v>124</v>
      </c>
      <c r="F37" s="205"/>
      <c r="G37" s="205" t="s">
        <v>413</v>
      </c>
      <c r="H37" s="206">
        <v>46048</v>
      </c>
      <c r="I37" s="234"/>
      <c r="J37" s="234"/>
      <c r="K37" s="234"/>
      <c r="L37" s="207">
        <v>3416482.25</v>
      </c>
    </row>
    <row r="38" spans="1:12" ht="15" x14ac:dyDescent="0.3">
      <c r="A38" s="204" t="s">
        <v>30</v>
      </c>
      <c r="B38" s="204" t="s">
        <v>89</v>
      </c>
      <c r="C38" s="205" t="s">
        <v>129</v>
      </c>
      <c r="D38" s="205" t="s">
        <v>408</v>
      </c>
      <c r="E38" s="205" t="s">
        <v>126</v>
      </c>
      <c r="F38" s="205"/>
      <c r="G38" s="205" t="s">
        <v>413</v>
      </c>
      <c r="H38" s="206">
        <v>46048</v>
      </c>
      <c r="I38" s="234"/>
      <c r="J38" s="234"/>
      <c r="K38" s="234"/>
      <c r="L38" s="207">
        <v>1048606.3500000001</v>
      </c>
    </row>
    <row r="39" spans="1:12" ht="15" x14ac:dyDescent="0.3">
      <c r="A39" s="204" t="s">
        <v>41</v>
      </c>
      <c r="B39" s="204" t="s">
        <v>130</v>
      </c>
      <c r="C39" s="205" t="s">
        <v>113</v>
      </c>
      <c r="D39" s="205" t="s">
        <v>409</v>
      </c>
      <c r="E39" s="237" t="s">
        <v>120</v>
      </c>
      <c r="F39" s="205"/>
      <c r="G39" s="205" t="s">
        <v>413</v>
      </c>
      <c r="H39" s="206">
        <v>46048</v>
      </c>
      <c r="I39" s="234"/>
      <c r="J39" s="235"/>
      <c r="K39" s="235"/>
      <c r="L39" s="210">
        <v>950664.72</v>
      </c>
    </row>
    <row r="40" spans="1:12" ht="15" x14ac:dyDescent="0.3">
      <c r="A40" s="200" t="s">
        <v>8</v>
      </c>
      <c r="B40" s="200" t="s">
        <v>338</v>
      </c>
      <c r="C40" s="201" t="s">
        <v>421</v>
      </c>
      <c r="D40" s="201" t="s">
        <v>411</v>
      </c>
      <c r="E40" s="201" t="s">
        <v>250</v>
      </c>
      <c r="F40" s="201"/>
      <c r="G40" s="205" t="s">
        <v>413</v>
      </c>
      <c r="H40" s="206">
        <v>46049</v>
      </c>
      <c r="I40" s="234"/>
      <c r="J40" s="233"/>
      <c r="K40" s="233"/>
      <c r="L40" s="203">
        <v>1487210.27</v>
      </c>
    </row>
    <row r="41" spans="1:12" ht="15" x14ac:dyDescent="0.3">
      <c r="A41" s="200" t="s">
        <v>15</v>
      </c>
      <c r="B41" s="200" t="s">
        <v>85</v>
      </c>
      <c r="C41" s="201" t="s">
        <v>106</v>
      </c>
      <c r="D41" s="201" t="s">
        <v>415</v>
      </c>
      <c r="E41" s="201" t="s">
        <v>118</v>
      </c>
      <c r="F41" s="201"/>
      <c r="G41" s="205" t="s">
        <v>413</v>
      </c>
      <c r="H41" s="206">
        <v>46049</v>
      </c>
      <c r="I41" s="234"/>
      <c r="J41" s="233"/>
      <c r="K41" s="233"/>
      <c r="L41" s="203">
        <v>175308.48</v>
      </c>
    </row>
    <row r="42" spans="1:12" ht="15" x14ac:dyDescent="0.3">
      <c r="A42" s="200" t="s">
        <v>25</v>
      </c>
      <c r="B42" s="200" t="s">
        <v>60</v>
      </c>
      <c r="C42" s="201" t="s">
        <v>109</v>
      </c>
      <c r="D42" s="201" t="s">
        <v>415</v>
      </c>
      <c r="E42" s="201" t="s">
        <v>114</v>
      </c>
      <c r="F42" s="201"/>
      <c r="G42" s="205" t="s">
        <v>413</v>
      </c>
      <c r="H42" s="206">
        <v>46049</v>
      </c>
      <c r="I42" s="234"/>
      <c r="J42" s="233"/>
      <c r="K42" s="233"/>
      <c r="L42" s="203">
        <v>1999962.2</v>
      </c>
    </row>
    <row r="43" spans="1:12" ht="15" x14ac:dyDescent="0.3">
      <c r="A43" s="200" t="s">
        <v>242</v>
      </c>
      <c r="B43" s="200" t="s">
        <v>339</v>
      </c>
      <c r="C43" s="201" t="s">
        <v>422</v>
      </c>
      <c r="D43" s="201" t="s">
        <v>411</v>
      </c>
      <c r="E43" s="201" t="s">
        <v>251</v>
      </c>
      <c r="F43" s="201" t="s">
        <v>472</v>
      </c>
      <c r="G43" s="205" t="s">
        <v>413</v>
      </c>
      <c r="H43" s="206">
        <v>46049</v>
      </c>
      <c r="I43" s="234">
        <v>933144.11</v>
      </c>
      <c r="J43" s="233"/>
      <c r="K43" s="233"/>
      <c r="L43" s="203">
        <v>960276.87</v>
      </c>
    </row>
    <row r="44" spans="1:12" ht="15" x14ac:dyDescent="0.3">
      <c r="A44" s="200" t="s">
        <v>68</v>
      </c>
      <c r="B44" s="200" t="s">
        <v>337</v>
      </c>
      <c r="C44" s="201" t="s">
        <v>423</v>
      </c>
      <c r="D44" s="201" t="s">
        <v>411</v>
      </c>
      <c r="E44" s="201" t="s">
        <v>249</v>
      </c>
      <c r="F44" s="201"/>
      <c r="G44" s="205" t="s">
        <v>413</v>
      </c>
      <c r="H44" s="206">
        <v>46049</v>
      </c>
      <c r="I44" s="234">
        <v>1461860.68</v>
      </c>
      <c r="J44" s="233"/>
      <c r="K44" s="233"/>
      <c r="L44" s="203">
        <v>1461860.68</v>
      </c>
    </row>
    <row r="45" spans="1:12" ht="15" x14ac:dyDescent="0.3">
      <c r="A45" s="200" t="s">
        <v>63</v>
      </c>
      <c r="B45" s="200" t="s">
        <v>90</v>
      </c>
      <c r="C45" s="201" t="s">
        <v>128</v>
      </c>
      <c r="D45" s="201" t="s">
        <v>414</v>
      </c>
      <c r="E45" s="201" t="s">
        <v>125</v>
      </c>
      <c r="F45" s="201"/>
      <c r="G45" s="209" t="s">
        <v>100</v>
      </c>
      <c r="H45" s="209"/>
      <c r="I45" s="236"/>
      <c r="J45" s="236"/>
      <c r="K45" s="236"/>
      <c r="L45" s="203">
        <v>1001012.24</v>
      </c>
    </row>
    <row r="46" spans="1:12" ht="15" x14ac:dyDescent="0.3">
      <c r="A46" s="200" t="s">
        <v>155</v>
      </c>
      <c r="B46" s="200" t="s">
        <v>158</v>
      </c>
      <c r="C46" s="201" t="s">
        <v>419</v>
      </c>
      <c r="D46" s="201" t="s">
        <v>414</v>
      </c>
      <c r="E46" s="201" t="s">
        <v>417</v>
      </c>
      <c r="F46" s="201"/>
      <c r="G46" s="209" t="s">
        <v>100</v>
      </c>
      <c r="H46" s="209"/>
      <c r="I46" s="236"/>
      <c r="J46" s="236"/>
      <c r="K46" s="236"/>
      <c r="L46" s="203">
        <v>1000000</v>
      </c>
    </row>
    <row r="47" spans="1:12" ht="15" x14ac:dyDescent="0.3">
      <c r="A47" s="200" t="s">
        <v>4</v>
      </c>
      <c r="B47" s="200" t="s">
        <v>93</v>
      </c>
      <c r="C47" s="201" t="s">
        <v>104</v>
      </c>
      <c r="D47" s="201" t="s">
        <v>414</v>
      </c>
      <c r="E47" s="201" t="s">
        <v>144</v>
      </c>
      <c r="F47" s="201"/>
      <c r="G47" s="209" t="s">
        <v>100</v>
      </c>
      <c r="H47" s="209"/>
      <c r="I47" s="236"/>
      <c r="J47" s="236"/>
      <c r="K47" s="236"/>
      <c r="L47" s="203">
        <v>6464841.9500000002</v>
      </c>
    </row>
    <row r="48" spans="1:12" ht="15" x14ac:dyDescent="0.3">
      <c r="A48" s="200" t="s">
        <v>78</v>
      </c>
      <c r="B48" s="200" t="s">
        <v>133</v>
      </c>
      <c r="C48" s="201" t="s">
        <v>418</v>
      </c>
      <c r="D48" s="201" t="s">
        <v>408</v>
      </c>
      <c r="E48" s="201" t="s">
        <v>170</v>
      </c>
      <c r="F48" s="201"/>
      <c r="G48" s="209" t="s">
        <v>100</v>
      </c>
      <c r="H48" s="209"/>
      <c r="I48" s="236"/>
      <c r="J48" s="236"/>
      <c r="K48" s="236"/>
      <c r="L48" s="203">
        <v>3023307.47</v>
      </c>
    </row>
    <row r="49" spans="1:13" ht="15" x14ac:dyDescent="0.3">
      <c r="A49" s="242" t="s">
        <v>156</v>
      </c>
      <c r="B49" s="242" t="s">
        <v>160</v>
      </c>
      <c r="C49" s="243" t="s">
        <v>420</v>
      </c>
      <c r="D49" s="243" t="s">
        <v>414</v>
      </c>
      <c r="E49" s="243" t="s">
        <v>416</v>
      </c>
      <c r="F49" s="243"/>
      <c r="G49" s="244" t="s">
        <v>100</v>
      </c>
      <c r="H49" s="244"/>
      <c r="I49" s="245"/>
      <c r="J49" s="245"/>
      <c r="K49" s="245"/>
      <c r="L49" s="246">
        <v>768865.27</v>
      </c>
    </row>
    <row r="50" spans="1:13" ht="15" x14ac:dyDescent="0.3">
      <c r="A50" s="204" t="s">
        <v>37</v>
      </c>
      <c r="B50" s="204" t="s">
        <v>98</v>
      </c>
      <c r="C50" s="205" t="s">
        <v>104</v>
      </c>
      <c r="D50" s="205" t="s">
        <v>255</v>
      </c>
      <c r="E50" s="204" t="s">
        <v>99</v>
      </c>
      <c r="F50" s="118"/>
      <c r="G50" s="205" t="s">
        <v>350</v>
      </c>
      <c r="H50" s="247"/>
      <c r="I50" s="248"/>
      <c r="J50" s="248"/>
      <c r="K50" s="248"/>
      <c r="L50" s="207">
        <v>1000000</v>
      </c>
      <c r="M50"/>
    </row>
    <row r="51" spans="1:13" ht="15" x14ac:dyDescent="0.3">
      <c r="A51" s="241" t="s">
        <v>247</v>
      </c>
      <c r="B51" s="241"/>
      <c r="C51" s="205" t="s">
        <v>104</v>
      </c>
      <c r="D51" s="205" t="s">
        <v>255</v>
      </c>
      <c r="E51" s="204" t="s">
        <v>99</v>
      </c>
      <c r="F51" s="118"/>
      <c r="G51" s="205" t="s">
        <v>350</v>
      </c>
      <c r="H51" s="249"/>
      <c r="I51" s="250"/>
      <c r="J51" s="250"/>
      <c r="K51" s="250"/>
      <c r="L51" s="207">
        <v>1000000</v>
      </c>
    </row>
    <row r="52" spans="1:13" ht="15" x14ac:dyDescent="0.3">
      <c r="A52" s="241" t="s">
        <v>67</v>
      </c>
      <c r="B52" s="241"/>
      <c r="C52" s="205" t="s">
        <v>104</v>
      </c>
      <c r="D52" s="205" t="s">
        <v>255</v>
      </c>
      <c r="E52" s="204" t="s">
        <v>99</v>
      </c>
      <c r="F52" s="118"/>
      <c r="G52" s="205" t="s">
        <v>350</v>
      </c>
      <c r="H52" s="119"/>
      <c r="I52" s="120"/>
      <c r="J52" s="120"/>
      <c r="K52" s="120"/>
      <c r="L52" s="207">
        <v>0</v>
      </c>
    </row>
    <row r="53" spans="1:13" ht="15" x14ac:dyDescent="0.3">
      <c r="A53" s="241" t="s">
        <v>79</v>
      </c>
      <c r="B53" s="241"/>
      <c r="C53" s="205" t="s">
        <v>104</v>
      </c>
      <c r="D53" s="205" t="s">
        <v>255</v>
      </c>
      <c r="E53" s="204" t="s">
        <v>99</v>
      </c>
      <c r="F53" s="118"/>
      <c r="G53" s="205" t="s">
        <v>350</v>
      </c>
      <c r="H53" s="119"/>
      <c r="I53" s="120"/>
      <c r="J53" s="120"/>
      <c r="K53" s="120"/>
      <c r="L53" s="207">
        <v>500000</v>
      </c>
    </row>
    <row r="57" spans="1:13" ht="12" customHeight="1" x14ac:dyDescent="0.3"/>
  </sheetData>
  <pageMargins left="0.511811024" right="0.511811024" top="0.78740157499999996" bottom="0.78740157499999996" header="0.31496062000000002" footer="0.31496062000000002"/>
  <pageSetup paperSize="9" scale="9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4A49-039C-40F9-8650-18EBEB4FB8F7}">
  <sheetPr>
    <pageSetUpPr fitToPage="1"/>
  </sheetPr>
  <dimension ref="B1:I179"/>
  <sheetViews>
    <sheetView showGridLines="0" topLeftCell="A28" workbookViewId="0">
      <selection activeCell="E10" sqref="E10"/>
    </sheetView>
  </sheetViews>
  <sheetFormatPr defaultRowHeight="14.4" x14ac:dyDescent="0.3"/>
  <cols>
    <col min="1" max="1" width="7.77734375" customWidth="1"/>
    <col min="2" max="2" width="6" style="71" customWidth="1"/>
    <col min="3" max="3" width="22.44140625" customWidth="1"/>
    <col min="4" max="4" width="20.21875" bestFit="1" customWidth="1"/>
    <col min="5" max="5" width="46.5546875" bestFit="1" customWidth="1"/>
    <col min="6" max="6" width="24.88671875" style="71" customWidth="1"/>
    <col min="7" max="7" width="33.21875" style="71" customWidth="1"/>
    <col min="8" max="8" width="19.109375" style="72" customWidth="1"/>
    <col min="9" max="9" width="4.44140625" customWidth="1"/>
    <col min="10" max="10" width="20.109375" customWidth="1"/>
  </cols>
  <sheetData>
    <row r="1" spans="2:8" ht="24" customHeight="1" thickBot="1" x14ac:dyDescent="0.35"/>
    <row r="2" spans="2:8" ht="15" thickBot="1" x14ac:dyDescent="0.35">
      <c r="B2" s="128" t="s">
        <v>162</v>
      </c>
      <c r="C2" s="129" t="s">
        <v>1</v>
      </c>
      <c r="D2" s="149" t="s">
        <v>179</v>
      </c>
      <c r="E2" s="129" t="s">
        <v>102</v>
      </c>
      <c r="F2" s="129" t="s">
        <v>103</v>
      </c>
      <c r="G2" s="129" t="s">
        <v>334</v>
      </c>
      <c r="H2" s="130" t="s">
        <v>82</v>
      </c>
    </row>
    <row r="3" spans="2:8" x14ac:dyDescent="0.3">
      <c r="B3" s="135">
        <v>0</v>
      </c>
      <c r="C3" s="136" t="s">
        <v>21</v>
      </c>
      <c r="D3" s="135" t="s">
        <v>181</v>
      </c>
      <c r="E3" s="136" t="s">
        <v>240</v>
      </c>
      <c r="F3" s="135" t="s">
        <v>239</v>
      </c>
      <c r="G3" s="215" t="s">
        <v>432</v>
      </c>
      <c r="H3" s="137">
        <v>645999.5</v>
      </c>
    </row>
    <row r="4" spans="2:8" x14ac:dyDescent="0.3">
      <c r="B4" s="135">
        <v>0</v>
      </c>
      <c r="C4" s="136" t="s">
        <v>78</v>
      </c>
      <c r="D4" s="135" t="s">
        <v>181</v>
      </c>
      <c r="E4" s="136" t="s">
        <v>240</v>
      </c>
      <c r="F4" s="135" t="s">
        <v>241</v>
      </c>
      <c r="G4" s="215" t="s">
        <v>432</v>
      </c>
      <c r="H4" s="137">
        <v>692699.19</v>
      </c>
    </row>
    <row r="5" spans="2:8" x14ac:dyDescent="0.3">
      <c r="B5" s="135">
        <v>0</v>
      </c>
      <c r="C5" s="136" t="s">
        <v>244</v>
      </c>
      <c r="D5" s="135" t="s">
        <v>181</v>
      </c>
      <c r="E5" s="136" t="s">
        <v>240</v>
      </c>
      <c r="F5" s="135" t="s">
        <v>245</v>
      </c>
      <c r="G5" s="215" t="s">
        <v>432</v>
      </c>
      <c r="H5" s="137">
        <v>380969.09</v>
      </c>
    </row>
    <row r="6" spans="2:8" x14ac:dyDescent="0.3">
      <c r="B6" s="135">
        <v>1</v>
      </c>
      <c r="C6" s="136" t="s">
        <v>221</v>
      </c>
      <c r="D6" s="135" t="s">
        <v>181</v>
      </c>
      <c r="E6" s="136" t="s">
        <v>223</v>
      </c>
      <c r="F6" s="135" t="s">
        <v>222</v>
      </c>
      <c r="G6" s="215" t="s">
        <v>432</v>
      </c>
      <c r="H6" s="137">
        <v>1187953.73</v>
      </c>
    </row>
    <row r="7" spans="2:8" x14ac:dyDescent="0.3">
      <c r="B7" s="135">
        <v>1</v>
      </c>
      <c r="C7" s="136" t="s">
        <v>219</v>
      </c>
      <c r="D7" s="135" t="s">
        <v>191</v>
      </c>
      <c r="E7" s="136" t="s">
        <v>193</v>
      </c>
      <c r="F7" s="135" t="s">
        <v>220</v>
      </c>
      <c r="G7" s="215" t="s">
        <v>432</v>
      </c>
      <c r="H7" s="137">
        <v>497199.96</v>
      </c>
    </row>
    <row r="8" spans="2:8" x14ac:dyDescent="0.3">
      <c r="B8" s="135">
        <v>1</v>
      </c>
      <c r="C8" s="136" t="s">
        <v>184</v>
      </c>
      <c r="D8" s="135" t="s">
        <v>181</v>
      </c>
      <c r="E8" s="136" t="s">
        <v>186</v>
      </c>
      <c r="F8" s="135" t="s">
        <v>424</v>
      </c>
      <c r="G8" s="215" t="s">
        <v>432</v>
      </c>
      <c r="H8" s="137">
        <v>1042447.89</v>
      </c>
    </row>
    <row r="9" spans="2:8" x14ac:dyDescent="0.3">
      <c r="B9" s="135">
        <v>1</v>
      </c>
      <c r="C9" s="136" t="s">
        <v>190</v>
      </c>
      <c r="D9" s="135" t="s">
        <v>191</v>
      </c>
      <c r="E9" s="136" t="s">
        <v>193</v>
      </c>
      <c r="F9" s="135" t="s">
        <v>425</v>
      </c>
      <c r="G9" s="215" t="s">
        <v>432</v>
      </c>
      <c r="H9" s="137">
        <v>490400</v>
      </c>
    </row>
    <row r="10" spans="2:8" x14ac:dyDescent="0.3">
      <c r="B10" s="118">
        <v>1</v>
      </c>
      <c r="C10" s="119" t="s">
        <v>437</v>
      </c>
      <c r="D10" s="118" t="s">
        <v>280</v>
      </c>
      <c r="E10" s="119" t="s">
        <v>354</v>
      </c>
      <c r="F10" s="118" t="s">
        <v>451</v>
      </c>
      <c r="G10" s="215" t="s">
        <v>432</v>
      </c>
      <c r="H10" s="120">
        <v>398100</v>
      </c>
    </row>
    <row r="11" spans="2:8" x14ac:dyDescent="0.3">
      <c r="B11" s="118">
        <v>1</v>
      </c>
      <c r="C11" s="119" t="s">
        <v>6</v>
      </c>
      <c r="D11" s="118" t="s">
        <v>439</v>
      </c>
      <c r="E11" s="119" t="s">
        <v>193</v>
      </c>
      <c r="F11" s="118" t="s">
        <v>452</v>
      </c>
      <c r="G11" s="226" t="s">
        <v>455</v>
      </c>
      <c r="H11" s="120">
        <v>496705.87</v>
      </c>
    </row>
    <row r="12" spans="2:8" x14ac:dyDescent="0.3">
      <c r="B12" s="118">
        <v>1</v>
      </c>
      <c r="C12" s="119" t="s">
        <v>273</v>
      </c>
      <c r="D12" s="118" t="s">
        <v>438</v>
      </c>
      <c r="E12" s="119" t="s">
        <v>276</v>
      </c>
      <c r="F12" s="118" t="s">
        <v>449</v>
      </c>
      <c r="G12" s="226" t="s">
        <v>455</v>
      </c>
      <c r="H12" s="120">
        <v>800000</v>
      </c>
    </row>
    <row r="13" spans="2:8" x14ac:dyDescent="0.3">
      <c r="B13" s="118">
        <v>1</v>
      </c>
      <c r="C13" s="119" t="s">
        <v>252</v>
      </c>
      <c r="D13" s="118" t="s">
        <v>181</v>
      </c>
      <c r="E13" s="119" t="s">
        <v>254</v>
      </c>
      <c r="F13" s="118" t="s">
        <v>253</v>
      </c>
      <c r="G13" s="226" t="s">
        <v>455</v>
      </c>
      <c r="H13" s="120">
        <v>933365</v>
      </c>
    </row>
    <row r="14" spans="2:8" x14ac:dyDescent="0.3">
      <c r="B14" s="118">
        <v>1</v>
      </c>
      <c r="C14" s="119" t="s">
        <v>194</v>
      </c>
      <c r="D14" s="118" t="s">
        <v>181</v>
      </c>
      <c r="E14" s="119" t="s">
        <v>310</v>
      </c>
      <c r="F14" s="118" t="s">
        <v>256</v>
      </c>
      <c r="G14" s="226" t="s">
        <v>455</v>
      </c>
      <c r="H14" s="120">
        <v>878808.24</v>
      </c>
    </row>
    <row r="15" spans="2:8" x14ac:dyDescent="0.3">
      <c r="B15" s="118">
        <v>1</v>
      </c>
      <c r="C15" s="119" t="s">
        <v>309</v>
      </c>
      <c r="D15" s="118" t="s">
        <v>440</v>
      </c>
      <c r="E15" s="119" t="s">
        <v>440</v>
      </c>
      <c r="F15" s="118" t="s">
        <v>330</v>
      </c>
      <c r="G15" s="226" t="s">
        <v>455</v>
      </c>
      <c r="H15" s="120">
        <v>1618242.16</v>
      </c>
    </row>
    <row r="16" spans="2:8" x14ac:dyDescent="0.3">
      <c r="B16" s="118">
        <v>1</v>
      </c>
      <c r="C16" s="119" t="s">
        <v>260</v>
      </c>
      <c r="D16" s="118" t="s">
        <v>181</v>
      </c>
      <c r="E16" s="119" t="s">
        <v>262</v>
      </c>
      <c r="F16" s="118" t="s">
        <v>261</v>
      </c>
      <c r="G16" s="226" t="s">
        <v>455</v>
      </c>
      <c r="H16" s="120">
        <v>552987</v>
      </c>
    </row>
    <row r="17" spans="2:8" x14ac:dyDescent="0.3">
      <c r="B17" s="118">
        <v>1</v>
      </c>
      <c r="C17" s="119" t="s">
        <v>290</v>
      </c>
      <c r="D17" s="118" t="s">
        <v>181</v>
      </c>
      <c r="E17" s="119" t="s">
        <v>292</v>
      </c>
      <c r="F17" s="118" t="s">
        <v>291</v>
      </c>
      <c r="G17" s="226" t="s">
        <v>455</v>
      </c>
      <c r="H17" s="120">
        <v>4543923.28</v>
      </c>
    </row>
    <row r="18" spans="2:8" x14ac:dyDescent="0.3">
      <c r="B18" s="118">
        <v>1</v>
      </c>
      <c r="C18" s="119" t="s">
        <v>23</v>
      </c>
      <c r="D18" s="118" t="s">
        <v>288</v>
      </c>
      <c r="E18" s="119" t="s">
        <v>442</v>
      </c>
      <c r="F18" s="118" t="s">
        <v>332</v>
      </c>
      <c r="G18" s="226" t="s">
        <v>455</v>
      </c>
      <c r="H18" s="120">
        <v>3328027.12</v>
      </c>
    </row>
    <row r="19" spans="2:8" x14ac:dyDescent="0.3">
      <c r="B19" s="118">
        <v>1</v>
      </c>
      <c r="C19" s="119" t="s">
        <v>263</v>
      </c>
      <c r="D19" s="125" t="s">
        <v>439</v>
      </c>
      <c r="E19" s="119" t="s">
        <v>193</v>
      </c>
      <c r="F19" s="118" t="s">
        <v>453</v>
      </c>
      <c r="G19" s="226" t="s">
        <v>455</v>
      </c>
      <c r="H19" s="120">
        <v>496705.87</v>
      </c>
    </row>
    <row r="20" spans="2:8" x14ac:dyDescent="0.3">
      <c r="B20" s="118">
        <v>1</v>
      </c>
      <c r="C20" s="119" t="s">
        <v>264</v>
      </c>
      <c r="D20" s="118" t="s">
        <v>181</v>
      </c>
      <c r="E20" s="119" t="s">
        <v>266</v>
      </c>
      <c r="F20" s="118" t="s">
        <v>265</v>
      </c>
      <c r="G20" s="226" t="s">
        <v>455</v>
      </c>
      <c r="H20" s="120">
        <v>945208.63</v>
      </c>
    </row>
    <row r="21" spans="2:8" x14ac:dyDescent="0.3">
      <c r="B21" s="118">
        <v>1</v>
      </c>
      <c r="C21" s="119" t="s">
        <v>267</v>
      </c>
      <c r="D21" s="118" t="s">
        <v>181</v>
      </c>
      <c r="E21" s="119" t="s">
        <v>269</v>
      </c>
      <c r="F21" s="118" t="s">
        <v>268</v>
      </c>
      <c r="G21" s="226" t="s">
        <v>455</v>
      </c>
      <c r="H21" s="120">
        <v>603731.81999999995</v>
      </c>
    </row>
    <row r="22" spans="2:8" x14ac:dyDescent="0.3">
      <c r="B22" s="118">
        <v>1</v>
      </c>
      <c r="C22" s="119" t="s">
        <v>79</v>
      </c>
      <c r="D22" s="118" t="s">
        <v>181</v>
      </c>
      <c r="E22" s="119" t="s">
        <v>446</v>
      </c>
      <c r="F22" s="118" t="s">
        <v>333</v>
      </c>
      <c r="G22" s="226" t="s">
        <v>455</v>
      </c>
      <c r="H22" s="120">
        <v>726450</v>
      </c>
    </row>
    <row r="23" spans="2:8" x14ac:dyDescent="0.3">
      <c r="B23" s="118">
        <v>1</v>
      </c>
      <c r="C23" s="119" t="s">
        <v>270</v>
      </c>
      <c r="D23" s="118" t="s">
        <v>181</v>
      </c>
      <c r="E23" s="119" t="s">
        <v>447</v>
      </c>
      <c r="F23" s="118" t="s">
        <v>271</v>
      </c>
      <c r="G23" s="226" t="s">
        <v>455</v>
      </c>
      <c r="H23" s="120">
        <v>752115</v>
      </c>
    </row>
    <row r="24" spans="2:8" x14ac:dyDescent="0.3">
      <c r="B24" s="118">
        <v>1</v>
      </c>
      <c r="C24" s="224" t="s">
        <v>457</v>
      </c>
      <c r="D24" s="223" t="s">
        <v>439</v>
      </c>
      <c r="E24" s="224" t="s">
        <v>458</v>
      </c>
      <c r="F24" s="223" t="s">
        <v>459</v>
      </c>
      <c r="G24" s="227" t="s">
        <v>455</v>
      </c>
      <c r="H24" s="225">
        <v>800000</v>
      </c>
    </row>
    <row r="25" spans="2:8" x14ac:dyDescent="0.3">
      <c r="B25" s="135">
        <v>1</v>
      </c>
      <c r="C25" s="136" t="s">
        <v>8</v>
      </c>
      <c r="D25" s="135" t="s">
        <v>181</v>
      </c>
      <c r="E25" s="136" t="s">
        <v>183</v>
      </c>
      <c r="F25" s="135" t="s">
        <v>182</v>
      </c>
      <c r="G25" s="135" t="s">
        <v>349</v>
      </c>
      <c r="H25" s="137">
        <v>1243971.5</v>
      </c>
    </row>
    <row r="26" spans="2:8" x14ac:dyDescent="0.3">
      <c r="B26" s="135">
        <v>1</v>
      </c>
      <c r="C26" s="136" t="s">
        <v>35</v>
      </c>
      <c r="D26" s="135" t="s">
        <v>181</v>
      </c>
      <c r="E26" s="136" t="s">
        <v>199</v>
      </c>
      <c r="F26" s="135" t="s">
        <v>198</v>
      </c>
      <c r="G26" s="135" t="s">
        <v>349</v>
      </c>
      <c r="H26" s="137">
        <v>444316.1</v>
      </c>
    </row>
    <row r="27" spans="2:8" x14ac:dyDescent="0.3">
      <c r="B27" s="135">
        <v>1</v>
      </c>
      <c r="C27" s="136" t="s">
        <v>203</v>
      </c>
      <c r="D27" s="135" t="s">
        <v>181</v>
      </c>
      <c r="E27" s="136" t="s">
        <v>205</v>
      </c>
      <c r="F27" s="135" t="s">
        <v>204</v>
      </c>
      <c r="G27" s="135" t="s">
        <v>349</v>
      </c>
      <c r="H27" s="137">
        <v>650000.72</v>
      </c>
    </row>
    <row r="28" spans="2:8" x14ac:dyDescent="0.3">
      <c r="B28" s="135">
        <v>1</v>
      </c>
      <c r="C28" s="136" t="s">
        <v>206</v>
      </c>
      <c r="D28" s="163" t="s">
        <v>181</v>
      </c>
      <c r="E28" s="136" t="s">
        <v>430</v>
      </c>
      <c r="F28" s="135" t="s">
        <v>207</v>
      </c>
      <c r="G28" s="135" t="s">
        <v>349</v>
      </c>
      <c r="H28" s="137">
        <v>327811.46999999997</v>
      </c>
    </row>
    <row r="29" spans="2:8" x14ac:dyDescent="0.3">
      <c r="B29" s="135">
        <v>1</v>
      </c>
      <c r="C29" s="136" t="s">
        <v>211</v>
      </c>
      <c r="D29" s="135" t="s">
        <v>181</v>
      </c>
      <c r="E29" s="136" t="s">
        <v>212</v>
      </c>
      <c r="F29" s="135" t="s">
        <v>428</v>
      </c>
      <c r="G29" s="135" t="s">
        <v>349</v>
      </c>
      <c r="H29" s="137">
        <v>750848.62</v>
      </c>
    </row>
    <row r="30" spans="2:8" x14ac:dyDescent="0.3">
      <c r="B30" s="135">
        <v>1</v>
      </c>
      <c r="C30" s="119" t="s">
        <v>258</v>
      </c>
      <c r="D30" s="118" t="s">
        <v>181</v>
      </c>
      <c r="E30" s="119" t="s">
        <v>310</v>
      </c>
      <c r="F30" s="118" t="s">
        <v>259</v>
      </c>
      <c r="G30" s="135" t="s">
        <v>349</v>
      </c>
      <c r="H30" s="120">
        <v>829718.98</v>
      </c>
    </row>
    <row r="31" spans="2:8" x14ac:dyDescent="0.3">
      <c r="B31" s="135">
        <v>1</v>
      </c>
      <c r="C31" s="119" t="s">
        <v>279</v>
      </c>
      <c r="D31" s="118" t="s">
        <v>280</v>
      </c>
      <c r="E31" s="119" t="s">
        <v>281</v>
      </c>
      <c r="F31" s="118" t="s">
        <v>450</v>
      </c>
      <c r="G31" s="135" t="s">
        <v>349</v>
      </c>
      <c r="H31" s="120">
        <v>500000</v>
      </c>
    </row>
    <row r="32" spans="2:8" ht="15.6" x14ac:dyDescent="0.3">
      <c r="G32" s="122" t="s">
        <v>131</v>
      </c>
      <c r="H32" s="123">
        <f>SUM(H3:H31)</f>
        <v>27558706.740000002</v>
      </c>
    </row>
    <row r="39" spans="2:8" ht="15" thickBot="1" x14ac:dyDescent="0.35"/>
    <row r="40" spans="2:8" ht="15.6" thickBot="1" x14ac:dyDescent="0.35">
      <c r="B40" s="132" t="s">
        <v>177</v>
      </c>
      <c r="C40" s="133" t="s">
        <v>178</v>
      </c>
      <c r="D40" s="133" t="s">
        <v>179</v>
      </c>
      <c r="E40" s="133" t="s">
        <v>102</v>
      </c>
      <c r="F40" s="133" t="s">
        <v>103</v>
      </c>
      <c r="G40" s="166" t="s">
        <v>334</v>
      </c>
      <c r="H40" s="134" t="s">
        <v>180</v>
      </c>
    </row>
    <row r="41" spans="2:8" x14ac:dyDescent="0.3">
      <c r="B41" s="135">
        <v>0</v>
      </c>
      <c r="C41" s="136" t="s">
        <v>242</v>
      </c>
      <c r="D41" s="135" t="s">
        <v>181</v>
      </c>
      <c r="E41" s="136" t="s">
        <v>240</v>
      </c>
      <c r="F41" s="135" t="s">
        <v>243</v>
      </c>
      <c r="G41" s="173" t="s">
        <v>343</v>
      </c>
      <c r="H41" s="137">
        <v>362130.36</v>
      </c>
    </row>
    <row r="42" spans="2:8" x14ac:dyDescent="0.3">
      <c r="B42" s="135">
        <v>0</v>
      </c>
      <c r="C42" s="136" t="s">
        <v>187</v>
      </c>
      <c r="D42" s="135" t="s">
        <v>181</v>
      </c>
      <c r="E42" s="136" t="s">
        <v>189</v>
      </c>
      <c r="F42" s="135" t="s">
        <v>188</v>
      </c>
      <c r="G42" s="173" t="s">
        <v>343</v>
      </c>
      <c r="H42" s="137">
        <v>561100</v>
      </c>
    </row>
    <row r="43" spans="2:8" x14ac:dyDescent="0.3">
      <c r="B43" s="135">
        <v>0</v>
      </c>
      <c r="C43" s="136" t="s">
        <v>194</v>
      </c>
      <c r="D43" s="135" t="s">
        <v>195</v>
      </c>
      <c r="E43" s="136" t="s">
        <v>197</v>
      </c>
      <c r="F43" s="135" t="s">
        <v>426</v>
      </c>
      <c r="G43" s="173" t="s">
        <v>343</v>
      </c>
      <c r="H43" s="137">
        <v>786000</v>
      </c>
    </row>
    <row r="44" spans="2:8" x14ac:dyDescent="0.3">
      <c r="B44" s="135">
        <v>0</v>
      </c>
      <c r="C44" s="136" t="s">
        <v>155</v>
      </c>
      <c r="D44" s="135" t="s">
        <v>191</v>
      </c>
      <c r="E44" s="136" t="s">
        <v>202</v>
      </c>
      <c r="F44" s="135" t="s">
        <v>427</v>
      </c>
      <c r="G44" s="173" t="s">
        <v>343</v>
      </c>
      <c r="H44" s="137">
        <v>934000</v>
      </c>
    </row>
    <row r="45" spans="2:8" x14ac:dyDescent="0.3">
      <c r="B45" s="135">
        <v>0</v>
      </c>
      <c r="C45" s="136" t="s">
        <v>36</v>
      </c>
      <c r="D45" s="135" t="s">
        <v>191</v>
      </c>
      <c r="E45" s="136" t="s">
        <v>210</v>
      </c>
      <c r="F45" s="135" t="s">
        <v>209</v>
      </c>
      <c r="G45" s="173" t="s">
        <v>343</v>
      </c>
      <c r="H45" s="137">
        <v>502200</v>
      </c>
    </row>
    <row r="46" spans="2:8" x14ac:dyDescent="0.3">
      <c r="B46" s="135">
        <v>0</v>
      </c>
      <c r="C46" s="136" t="s">
        <v>213</v>
      </c>
      <c r="D46" s="135" t="s">
        <v>181</v>
      </c>
      <c r="E46" s="136" t="s">
        <v>429</v>
      </c>
      <c r="F46" s="135" t="s">
        <v>214</v>
      </c>
      <c r="G46" s="173" t="s">
        <v>343</v>
      </c>
      <c r="H46" s="137">
        <v>498000</v>
      </c>
    </row>
    <row r="47" spans="2:8" x14ac:dyDescent="0.3">
      <c r="B47" s="135">
        <v>0</v>
      </c>
      <c r="C47" s="221" t="s">
        <v>431</v>
      </c>
      <c r="D47" s="163" t="s">
        <v>181</v>
      </c>
      <c r="E47" s="221" t="s">
        <v>218</v>
      </c>
      <c r="F47" s="163" t="s">
        <v>217</v>
      </c>
      <c r="G47" s="173" t="s">
        <v>343</v>
      </c>
      <c r="H47" s="137">
        <v>2317720</v>
      </c>
    </row>
    <row r="48" spans="2:8" x14ac:dyDescent="0.3">
      <c r="B48" s="135">
        <v>0</v>
      </c>
      <c r="C48" s="221" t="s">
        <v>232</v>
      </c>
      <c r="D48" s="163" t="s">
        <v>434</v>
      </c>
      <c r="E48" s="221" t="s">
        <v>435</v>
      </c>
      <c r="F48" s="163" t="s">
        <v>436</v>
      </c>
      <c r="G48" s="173" t="s">
        <v>343</v>
      </c>
      <c r="H48" s="222">
        <v>450000</v>
      </c>
    </row>
    <row r="49" spans="2:9" x14ac:dyDescent="0.3">
      <c r="H49" s="72">
        <f>SUM(H41:H48)</f>
        <v>6411150.3599999994</v>
      </c>
    </row>
    <row r="57" spans="2:9" ht="15.6" x14ac:dyDescent="0.3">
      <c r="B57" s="157" t="s">
        <v>323</v>
      </c>
      <c r="C57" s="138"/>
      <c r="D57" s="138"/>
      <c r="E57" s="138"/>
      <c r="F57" s="156"/>
      <c r="G57" s="156"/>
      <c r="H57" s="139"/>
      <c r="I57" s="140"/>
    </row>
    <row r="58" spans="2:9" ht="3" customHeight="1" thickBot="1" x14ac:dyDescent="0.35">
      <c r="B58" s="156"/>
      <c r="C58" s="138"/>
      <c r="D58" s="138"/>
      <c r="E58" s="138"/>
      <c r="F58" s="156"/>
      <c r="G58" s="156"/>
      <c r="H58" s="139"/>
      <c r="I58" s="140"/>
    </row>
    <row r="59" spans="2:9" ht="15.6" thickBot="1" x14ac:dyDescent="0.35">
      <c r="B59" s="132" t="s">
        <v>177</v>
      </c>
      <c r="C59" s="133" t="s">
        <v>178</v>
      </c>
      <c r="D59" s="133" t="s">
        <v>179</v>
      </c>
      <c r="E59" s="133" t="s">
        <v>102</v>
      </c>
      <c r="F59" s="133" t="s">
        <v>103</v>
      </c>
      <c r="G59" s="166" t="s">
        <v>334</v>
      </c>
      <c r="H59" s="134" t="s">
        <v>180</v>
      </c>
    </row>
    <row r="60" spans="2:9" x14ac:dyDescent="0.3">
      <c r="B60" s="153">
        <v>3</v>
      </c>
      <c r="C60" s="135" t="s">
        <v>293</v>
      </c>
      <c r="D60" s="135" t="s">
        <v>294</v>
      </c>
      <c r="E60" s="135" t="s">
        <v>193</v>
      </c>
      <c r="F60" s="153" t="s">
        <v>277</v>
      </c>
      <c r="G60" s="169" t="s">
        <v>350</v>
      </c>
      <c r="H60" s="137">
        <v>496705.87</v>
      </c>
    </row>
    <row r="61" spans="2:9" x14ac:dyDescent="0.3">
      <c r="B61" s="153">
        <v>3</v>
      </c>
      <c r="C61" s="135" t="s">
        <v>295</v>
      </c>
      <c r="D61" s="135" t="s">
        <v>181</v>
      </c>
      <c r="E61" s="135" t="s">
        <v>296</v>
      </c>
      <c r="F61" s="153" t="s">
        <v>277</v>
      </c>
      <c r="G61" s="169" t="s">
        <v>350</v>
      </c>
      <c r="H61" s="137">
        <v>700000</v>
      </c>
    </row>
    <row r="62" spans="2:9" x14ac:dyDescent="0.3">
      <c r="B62" s="153">
        <v>3</v>
      </c>
      <c r="C62" s="135" t="s">
        <v>11</v>
      </c>
      <c r="D62" s="135" t="s">
        <v>181</v>
      </c>
      <c r="E62" s="135" t="s">
        <v>464</v>
      </c>
      <c r="F62" s="153" t="s">
        <v>277</v>
      </c>
      <c r="G62" s="169" t="s">
        <v>350</v>
      </c>
      <c r="H62" s="137">
        <v>1000000</v>
      </c>
    </row>
    <row r="63" spans="2:9" x14ac:dyDescent="0.3">
      <c r="B63" s="153">
        <v>3</v>
      </c>
      <c r="C63" s="135" t="s">
        <v>297</v>
      </c>
      <c r="D63" s="135" t="s">
        <v>181</v>
      </c>
      <c r="E63" s="135" t="s">
        <v>298</v>
      </c>
      <c r="F63" s="153" t="s">
        <v>277</v>
      </c>
      <c r="G63" s="169" t="s">
        <v>350</v>
      </c>
      <c r="H63" s="137">
        <v>0</v>
      </c>
    </row>
    <row r="64" spans="2:9" x14ac:dyDescent="0.3">
      <c r="B64" s="153">
        <v>3</v>
      </c>
      <c r="C64" s="135" t="s">
        <v>299</v>
      </c>
      <c r="D64" s="135" t="s">
        <v>294</v>
      </c>
      <c r="E64" s="135" t="s">
        <v>460</v>
      </c>
      <c r="F64" s="153" t="s">
        <v>277</v>
      </c>
      <c r="G64" s="169" t="s">
        <v>350</v>
      </c>
      <c r="H64" s="137">
        <v>500000</v>
      </c>
    </row>
    <row r="65" spans="2:8" x14ac:dyDescent="0.3">
      <c r="B65" s="153">
        <v>3</v>
      </c>
      <c r="C65" s="135" t="s">
        <v>13</v>
      </c>
      <c r="D65" s="135" t="s">
        <v>181</v>
      </c>
      <c r="E65" s="135" t="s">
        <v>296</v>
      </c>
      <c r="F65" s="153" t="s">
        <v>277</v>
      </c>
      <c r="G65" s="169" t="s">
        <v>350</v>
      </c>
      <c r="H65" s="137">
        <v>750000</v>
      </c>
    </row>
    <row r="66" spans="2:8" x14ac:dyDescent="0.3">
      <c r="B66" s="153">
        <v>3</v>
      </c>
      <c r="C66" s="135" t="s">
        <v>13</v>
      </c>
      <c r="D66" s="135" t="s">
        <v>280</v>
      </c>
      <c r="E66" s="135" t="s">
        <v>354</v>
      </c>
      <c r="F66" s="153" t="s">
        <v>277</v>
      </c>
      <c r="G66" s="169" t="s">
        <v>350</v>
      </c>
      <c r="H66" s="137">
        <v>750000</v>
      </c>
    </row>
    <row r="67" spans="2:8" x14ac:dyDescent="0.3">
      <c r="B67" s="153">
        <v>3</v>
      </c>
      <c r="C67" s="135" t="s">
        <v>13</v>
      </c>
      <c r="D67" s="135" t="s">
        <v>280</v>
      </c>
      <c r="E67" s="135" t="s">
        <v>353</v>
      </c>
      <c r="F67" s="153" t="s">
        <v>277</v>
      </c>
      <c r="G67" s="169" t="s">
        <v>350</v>
      </c>
      <c r="H67" s="137">
        <v>1500000</v>
      </c>
    </row>
    <row r="68" spans="2:8" x14ac:dyDescent="0.3">
      <c r="B68" s="153">
        <v>3</v>
      </c>
      <c r="C68" s="135" t="s">
        <v>302</v>
      </c>
      <c r="D68" s="135" t="s">
        <v>181</v>
      </c>
      <c r="E68" s="135" t="s">
        <v>303</v>
      </c>
      <c r="F68" s="153" t="s">
        <v>277</v>
      </c>
      <c r="G68" s="169" t="s">
        <v>350</v>
      </c>
      <c r="H68" s="137">
        <v>560000</v>
      </c>
    </row>
    <row r="69" spans="2:8" x14ac:dyDescent="0.3">
      <c r="B69" s="153">
        <v>3</v>
      </c>
      <c r="C69" s="135" t="s">
        <v>304</v>
      </c>
      <c r="D69" s="135" t="s">
        <v>181</v>
      </c>
      <c r="E69" s="135" t="s">
        <v>305</v>
      </c>
      <c r="F69" s="153" t="s">
        <v>277</v>
      </c>
      <c r="G69" s="169" t="s">
        <v>350</v>
      </c>
      <c r="H69" s="137">
        <v>500000</v>
      </c>
    </row>
    <row r="70" spans="2:8" x14ac:dyDescent="0.3">
      <c r="B70" s="153">
        <v>3</v>
      </c>
      <c r="C70" s="135" t="s">
        <v>306</v>
      </c>
      <c r="D70" s="135" t="s">
        <v>181</v>
      </c>
      <c r="E70" s="135" t="s">
        <v>296</v>
      </c>
      <c r="F70" s="153" t="s">
        <v>277</v>
      </c>
      <c r="G70" s="169" t="s">
        <v>350</v>
      </c>
      <c r="H70" s="137">
        <v>700000</v>
      </c>
    </row>
    <row r="71" spans="2:8" x14ac:dyDescent="0.3">
      <c r="B71" s="153">
        <v>3</v>
      </c>
      <c r="C71" s="135" t="s">
        <v>306</v>
      </c>
      <c r="D71" s="135" t="s">
        <v>294</v>
      </c>
      <c r="E71" s="135" t="s">
        <v>193</v>
      </c>
      <c r="F71" s="153" t="s">
        <v>277</v>
      </c>
      <c r="G71" s="169" t="s">
        <v>350</v>
      </c>
      <c r="H71" s="137">
        <v>496705.87</v>
      </c>
    </row>
    <row r="72" spans="2:8" x14ac:dyDescent="0.3">
      <c r="B72" s="153">
        <v>3</v>
      </c>
      <c r="C72" s="135" t="s">
        <v>307</v>
      </c>
      <c r="D72" s="135" t="s">
        <v>181</v>
      </c>
      <c r="E72" s="135" t="s">
        <v>308</v>
      </c>
      <c r="F72" s="153" t="s">
        <v>277</v>
      </c>
      <c r="G72" s="169" t="s">
        <v>350</v>
      </c>
      <c r="H72" s="137">
        <v>980000</v>
      </c>
    </row>
    <row r="73" spans="2:8" x14ac:dyDescent="0.3">
      <c r="B73" s="153">
        <v>3</v>
      </c>
      <c r="C73" s="135" t="s">
        <v>355</v>
      </c>
      <c r="D73" s="135" t="s">
        <v>181</v>
      </c>
      <c r="E73" s="135" t="s">
        <v>296</v>
      </c>
      <c r="F73" s="153" t="s">
        <v>277</v>
      </c>
      <c r="G73" s="169" t="s">
        <v>350</v>
      </c>
      <c r="H73" s="137">
        <v>750000</v>
      </c>
    </row>
    <row r="74" spans="2:8" x14ac:dyDescent="0.3">
      <c r="B74" s="153">
        <v>3</v>
      </c>
      <c r="C74" s="135" t="s">
        <v>309</v>
      </c>
      <c r="D74" s="135" t="s">
        <v>181</v>
      </c>
      <c r="E74" s="135" t="s">
        <v>310</v>
      </c>
      <c r="F74" s="153" t="s">
        <v>277</v>
      </c>
      <c r="G74" s="169" t="s">
        <v>350</v>
      </c>
      <c r="H74" s="137">
        <v>800000</v>
      </c>
    </row>
    <row r="75" spans="2:8" x14ac:dyDescent="0.3">
      <c r="B75" s="153">
        <v>3</v>
      </c>
      <c r="C75" s="135" t="s">
        <v>258</v>
      </c>
      <c r="D75" s="163" t="s">
        <v>181</v>
      </c>
      <c r="E75" s="135" t="s">
        <v>278</v>
      </c>
      <c r="F75" s="153" t="s">
        <v>277</v>
      </c>
      <c r="G75" s="169" t="s">
        <v>350</v>
      </c>
      <c r="H75" s="137">
        <v>522000</v>
      </c>
    </row>
    <row r="76" spans="2:8" x14ac:dyDescent="0.3">
      <c r="B76" s="153">
        <v>3</v>
      </c>
      <c r="C76" s="135" t="s">
        <v>95</v>
      </c>
      <c r="D76" s="135" t="s">
        <v>181</v>
      </c>
      <c r="E76" s="135" t="s">
        <v>311</v>
      </c>
      <c r="F76" s="153" t="s">
        <v>277</v>
      </c>
      <c r="G76" s="169" t="s">
        <v>350</v>
      </c>
      <c r="H76" s="137">
        <v>4350000</v>
      </c>
    </row>
    <row r="77" spans="2:8" x14ac:dyDescent="0.3">
      <c r="B77" s="153">
        <v>3</v>
      </c>
      <c r="C77" s="135" t="s">
        <v>95</v>
      </c>
      <c r="D77" s="135" t="s">
        <v>294</v>
      </c>
      <c r="E77" s="135" t="s">
        <v>462</v>
      </c>
      <c r="F77" s="153" t="s">
        <v>277</v>
      </c>
      <c r="G77" s="169" t="s">
        <v>350</v>
      </c>
      <c r="H77" s="137">
        <v>500000</v>
      </c>
    </row>
    <row r="78" spans="2:8" x14ac:dyDescent="0.3">
      <c r="B78" s="153">
        <v>3</v>
      </c>
      <c r="C78" s="135" t="s">
        <v>95</v>
      </c>
      <c r="D78" s="135" t="s">
        <v>294</v>
      </c>
      <c r="E78" s="135" t="s">
        <v>463</v>
      </c>
      <c r="F78" s="153" t="s">
        <v>277</v>
      </c>
      <c r="G78" s="169" t="s">
        <v>350</v>
      </c>
      <c r="H78" s="137">
        <v>700000</v>
      </c>
    </row>
    <row r="79" spans="2:8" x14ac:dyDescent="0.3">
      <c r="B79" s="153">
        <v>3</v>
      </c>
      <c r="C79" s="135" t="s">
        <v>312</v>
      </c>
      <c r="D79" s="135" t="s">
        <v>181</v>
      </c>
      <c r="E79" s="135" t="s">
        <v>199</v>
      </c>
      <c r="F79" s="153" t="s">
        <v>277</v>
      </c>
      <c r="G79" s="169" t="s">
        <v>350</v>
      </c>
      <c r="H79" s="137">
        <v>420000</v>
      </c>
    </row>
    <row r="80" spans="2:8" x14ac:dyDescent="0.3">
      <c r="B80" s="153">
        <v>3</v>
      </c>
      <c r="C80" s="135" t="s">
        <v>313</v>
      </c>
      <c r="D80" s="135" t="s">
        <v>181</v>
      </c>
      <c r="E80" s="135" t="s">
        <v>310</v>
      </c>
      <c r="F80" s="153" t="s">
        <v>277</v>
      </c>
      <c r="G80" s="169" t="s">
        <v>350</v>
      </c>
      <c r="H80" s="137">
        <v>870000</v>
      </c>
    </row>
    <row r="81" spans="2:8" x14ac:dyDescent="0.3">
      <c r="B81" s="153">
        <v>3</v>
      </c>
      <c r="C81" s="135" t="s">
        <v>317</v>
      </c>
      <c r="D81" s="135" t="s">
        <v>181</v>
      </c>
      <c r="E81" s="135" t="s">
        <v>318</v>
      </c>
      <c r="F81" s="153" t="s">
        <v>277</v>
      </c>
      <c r="G81" s="169" t="s">
        <v>350</v>
      </c>
      <c r="H81" s="137">
        <v>448000</v>
      </c>
    </row>
    <row r="82" spans="2:8" x14ac:dyDescent="0.3">
      <c r="B82" s="153">
        <v>3</v>
      </c>
      <c r="C82" s="135" t="s">
        <v>282</v>
      </c>
      <c r="D82" s="135" t="s">
        <v>294</v>
      </c>
      <c r="E82" s="135" t="s">
        <v>193</v>
      </c>
      <c r="F82" s="153" t="s">
        <v>277</v>
      </c>
      <c r="G82" s="169" t="s">
        <v>350</v>
      </c>
      <c r="H82" s="137">
        <v>496705.87</v>
      </c>
    </row>
    <row r="83" spans="2:8" x14ac:dyDescent="0.3">
      <c r="B83" s="153">
        <v>3</v>
      </c>
      <c r="C83" s="135" t="s">
        <v>319</v>
      </c>
      <c r="D83" s="135" t="s">
        <v>181</v>
      </c>
      <c r="E83" s="135" t="s">
        <v>285</v>
      </c>
      <c r="F83" s="153" t="s">
        <v>277</v>
      </c>
      <c r="G83" s="169" t="s">
        <v>350</v>
      </c>
      <c r="H83" s="137">
        <v>260000</v>
      </c>
    </row>
    <row r="84" spans="2:8" x14ac:dyDescent="0.3">
      <c r="B84" s="153">
        <v>3</v>
      </c>
      <c r="C84" s="135" t="s">
        <v>320</v>
      </c>
      <c r="D84" s="135" t="s">
        <v>181</v>
      </c>
      <c r="E84" s="135" t="s">
        <v>346</v>
      </c>
      <c r="F84" s="153" t="s">
        <v>277</v>
      </c>
      <c r="G84" s="169" t="s">
        <v>350</v>
      </c>
      <c r="H84" s="137">
        <v>1400000</v>
      </c>
    </row>
    <row r="85" spans="2:8" x14ac:dyDescent="0.3">
      <c r="B85" s="153">
        <v>3</v>
      </c>
      <c r="C85" s="135" t="s">
        <v>286</v>
      </c>
      <c r="D85" s="135" t="s">
        <v>181</v>
      </c>
      <c r="E85" s="135" t="s">
        <v>287</v>
      </c>
      <c r="F85" s="153" t="s">
        <v>277</v>
      </c>
      <c r="G85" s="169" t="s">
        <v>350</v>
      </c>
      <c r="H85" s="137">
        <v>1500000</v>
      </c>
    </row>
    <row r="86" spans="2:8" x14ac:dyDescent="0.3">
      <c r="B86" s="153">
        <v>3</v>
      </c>
      <c r="C86" s="135" t="s">
        <v>314</v>
      </c>
      <c r="D86" s="135" t="s">
        <v>181</v>
      </c>
      <c r="E86" s="135" t="s">
        <v>255</v>
      </c>
      <c r="F86" s="153" t="s">
        <v>277</v>
      </c>
      <c r="G86" s="169" t="s">
        <v>350</v>
      </c>
      <c r="H86" s="137">
        <v>5000000</v>
      </c>
    </row>
    <row r="87" spans="2:8" x14ac:dyDescent="0.3">
      <c r="B87" s="153">
        <v>3</v>
      </c>
      <c r="C87" s="135" t="s">
        <v>316</v>
      </c>
      <c r="D87" s="135" t="s">
        <v>181</v>
      </c>
      <c r="E87" s="135" t="s">
        <v>255</v>
      </c>
      <c r="F87" s="153" t="s">
        <v>277</v>
      </c>
      <c r="G87" s="169" t="s">
        <v>350</v>
      </c>
      <c r="H87" s="137">
        <v>3500000</v>
      </c>
    </row>
    <row r="88" spans="2:8" x14ac:dyDescent="0.3">
      <c r="B88" s="118">
        <v>2</v>
      </c>
      <c r="C88" s="223" t="s">
        <v>282</v>
      </c>
      <c r="D88" s="223" t="s">
        <v>283</v>
      </c>
      <c r="E88" s="223" t="s">
        <v>285</v>
      </c>
      <c r="F88" s="223" t="s">
        <v>277</v>
      </c>
      <c r="G88" s="228" t="s">
        <v>351</v>
      </c>
      <c r="H88" s="225">
        <v>244180</v>
      </c>
    </row>
    <row r="89" spans="2:8" x14ac:dyDescent="0.3">
      <c r="B89" s="118">
        <v>2</v>
      </c>
      <c r="C89" s="223" t="s">
        <v>11</v>
      </c>
      <c r="D89" s="223" t="s">
        <v>288</v>
      </c>
      <c r="E89" s="223" t="s">
        <v>289</v>
      </c>
      <c r="F89" s="223" t="s">
        <v>277</v>
      </c>
      <c r="G89" s="228" t="s">
        <v>351</v>
      </c>
      <c r="H89" s="225">
        <v>2000000</v>
      </c>
    </row>
    <row r="90" spans="2:8" x14ac:dyDescent="0.3">
      <c r="B90" s="118">
        <v>2</v>
      </c>
      <c r="C90" s="223" t="s">
        <v>6</v>
      </c>
      <c r="D90" s="223" t="s">
        <v>181</v>
      </c>
      <c r="E90" s="223" t="s">
        <v>443</v>
      </c>
      <c r="F90" s="223" t="s">
        <v>277</v>
      </c>
      <c r="G90" s="228" t="s">
        <v>351</v>
      </c>
      <c r="H90" s="225">
        <v>1500000</v>
      </c>
    </row>
    <row r="91" spans="2:8" x14ac:dyDescent="0.3">
      <c r="B91" s="118">
        <v>2</v>
      </c>
      <c r="C91" s="223" t="s">
        <v>325</v>
      </c>
      <c r="D91" s="223" t="s">
        <v>438</v>
      </c>
      <c r="E91" s="223" t="s">
        <v>448</v>
      </c>
      <c r="F91" s="223" t="s">
        <v>277</v>
      </c>
      <c r="G91" s="228" t="s">
        <v>351</v>
      </c>
      <c r="H91" s="225">
        <v>150000</v>
      </c>
    </row>
    <row r="92" spans="2:8" x14ac:dyDescent="0.3">
      <c r="B92" s="118">
        <v>2</v>
      </c>
      <c r="C92" s="118" t="s">
        <v>456</v>
      </c>
      <c r="D92" s="118" t="s">
        <v>438</v>
      </c>
      <c r="E92" s="118" t="s">
        <v>444</v>
      </c>
      <c r="F92" s="118" t="s">
        <v>277</v>
      </c>
      <c r="G92" s="229" t="s">
        <v>351</v>
      </c>
      <c r="H92" s="120">
        <v>3700000</v>
      </c>
    </row>
    <row r="93" spans="2:8" ht="15.6" x14ac:dyDescent="0.3">
      <c r="B93" s="156"/>
      <c r="C93" s="138"/>
      <c r="D93" s="138"/>
      <c r="E93" s="138"/>
      <c r="G93" s="122" t="s">
        <v>131</v>
      </c>
      <c r="H93" s="123">
        <f>SUM(H60:H92)</f>
        <v>38044297.609999999</v>
      </c>
    </row>
    <row r="95" spans="2:8" x14ac:dyDescent="0.3">
      <c r="C95" s="138"/>
    </row>
    <row r="98" spans="2:8" x14ac:dyDescent="0.3">
      <c r="B98" s="118" t="s">
        <v>473</v>
      </c>
      <c r="C98" s="224" t="s">
        <v>167</v>
      </c>
      <c r="D98" s="223" t="s">
        <v>441</v>
      </c>
      <c r="E98" s="224" t="s">
        <v>445</v>
      </c>
      <c r="F98" s="223" t="s">
        <v>454</v>
      </c>
      <c r="G98" s="227" t="s">
        <v>455</v>
      </c>
      <c r="H98" s="225">
        <v>6288356.7699999996</v>
      </c>
    </row>
    <row r="166" spans="2:8" ht="15" x14ac:dyDescent="0.3">
      <c r="B166" s="188" t="s">
        <v>465</v>
      </c>
      <c r="C166" s="138"/>
      <c r="D166" s="138"/>
      <c r="E166" s="138"/>
      <c r="F166" s="138"/>
      <c r="G166" s="138"/>
      <c r="H166" s="139"/>
    </row>
    <row r="167" spans="2:8" ht="4.2" customHeight="1" thickBot="1" x14ac:dyDescent="0.35">
      <c r="B167" s="138"/>
      <c r="C167" s="138"/>
      <c r="D167" s="138"/>
      <c r="E167" s="138"/>
      <c r="F167" s="138"/>
      <c r="G167" s="138"/>
      <c r="H167" s="139"/>
    </row>
    <row r="168" spans="2:8" ht="15.6" thickBot="1" x14ac:dyDescent="0.35">
      <c r="B168" s="191" t="s">
        <v>177</v>
      </c>
      <c r="C168" s="191" t="s">
        <v>178</v>
      </c>
      <c r="D168" s="191" t="s">
        <v>179</v>
      </c>
      <c r="E168" s="191" t="s">
        <v>102</v>
      </c>
      <c r="F168" s="191" t="s">
        <v>321</v>
      </c>
      <c r="G168" s="192" t="s">
        <v>334</v>
      </c>
      <c r="H168" s="193" t="s">
        <v>180</v>
      </c>
    </row>
    <row r="169" spans="2:8" x14ac:dyDescent="0.3">
      <c r="B169" s="160">
        <v>2</v>
      </c>
      <c r="C169" s="189" t="s">
        <v>225</v>
      </c>
      <c r="D169" s="160"/>
      <c r="E169" s="190" t="s">
        <v>225</v>
      </c>
      <c r="F169" s="125"/>
      <c r="G169" s="125"/>
      <c r="H169" s="162">
        <v>3000000</v>
      </c>
    </row>
    <row r="170" spans="2:8" x14ac:dyDescent="0.3">
      <c r="B170" s="135">
        <v>2</v>
      </c>
      <c r="C170" s="158" t="s">
        <v>225</v>
      </c>
      <c r="D170" s="135"/>
      <c r="E170" s="159" t="s">
        <v>225</v>
      </c>
      <c r="F170" s="118"/>
      <c r="G170" s="170"/>
      <c r="H170" s="137">
        <v>1500000</v>
      </c>
    </row>
    <row r="171" spans="2:8" x14ac:dyDescent="0.3">
      <c r="B171" s="135">
        <v>2</v>
      </c>
      <c r="C171" s="158" t="s">
        <v>149</v>
      </c>
      <c r="D171" s="135"/>
      <c r="E171" s="136" t="s">
        <v>226</v>
      </c>
      <c r="F171" s="118"/>
      <c r="G171" s="170"/>
      <c r="H171" s="137">
        <v>2000000</v>
      </c>
    </row>
    <row r="172" spans="2:8" ht="43.2" x14ac:dyDescent="0.3">
      <c r="B172" s="135">
        <v>2</v>
      </c>
      <c r="C172" s="158" t="s">
        <v>227</v>
      </c>
      <c r="D172" s="135"/>
      <c r="E172" s="144" t="s">
        <v>228</v>
      </c>
      <c r="F172" s="118"/>
      <c r="G172" s="170"/>
      <c r="H172" s="137">
        <v>309062.51</v>
      </c>
    </row>
    <row r="173" spans="2:8" x14ac:dyDescent="0.3">
      <c r="B173" s="135">
        <v>2</v>
      </c>
      <c r="C173" s="158" t="s">
        <v>229</v>
      </c>
      <c r="D173" s="135"/>
      <c r="E173" s="136" t="s">
        <v>230</v>
      </c>
      <c r="F173" s="118"/>
      <c r="G173" s="170"/>
      <c r="H173" s="137">
        <v>493450</v>
      </c>
    </row>
    <row r="174" spans="2:8" x14ac:dyDescent="0.3">
      <c r="B174" s="135">
        <v>2</v>
      </c>
      <c r="C174" s="158" t="s">
        <v>229</v>
      </c>
      <c r="D174" s="135"/>
      <c r="E174" s="136" t="s">
        <v>231</v>
      </c>
      <c r="F174" s="118"/>
      <c r="G174" s="170"/>
      <c r="H174" s="137">
        <v>993850</v>
      </c>
    </row>
    <row r="175" spans="2:8" ht="28.8" x14ac:dyDescent="0.3">
      <c r="B175" s="135">
        <v>2</v>
      </c>
      <c r="C175" s="158" t="s">
        <v>232</v>
      </c>
      <c r="D175" s="135"/>
      <c r="E175" s="144" t="s">
        <v>233</v>
      </c>
      <c r="F175" s="118"/>
      <c r="G175" s="170" t="s">
        <v>344</v>
      </c>
      <c r="H175" s="137">
        <v>415000</v>
      </c>
    </row>
    <row r="176" spans="2:8" x14ac:dyDescent="0.3">
      <c r="B176" s="135">
        <v>2</v>
      </c>
      <c r="C176" s="158" t="s">
        <v>13</v>
      </c>
      <c r="D176" s="135"/>
      <c r="E176" s="136" t="s">
        <v>234</v>
      </c>
      <c r="F176" s="118"/>
      <c r="G176" s="170" t="s">
        <v>344</v>
      </c>
      <c r="H176" s="137">
        <v>276670.96999999997</v>
      </c>
    </row>
    <row r="177" spans="2:8" x14ac:dyDescent="0.3">
      <c r="B177" s="135">
        <v>2</v>
      </c>
      <c r="C177" s="158" t="s">
        <v>225</v>
      </c>
      <c r="D177" s="135"/>
      <c r="E177" s="136" t="s">
        <v>235</v>
      </c>
      <c r="F177" s="118"/>
      <c r="G177" s="170"/>
      <c r="H177" s="137">
        <v>3000000</v>
      </c>
    </row>
    <row r="178" spans="2:8" ht="29.4" thickBot="1" x14ac:dyDescent="0.35">
      <c r="B178" s="135">
        <v>2</v>
      </c>
      <c r="C178" s="158" t="s">
        <v>4</v>
      </c>
      <c r="D178" s="135"/>
      <c r="E178" s="144" t="s">
        <v>236</v>
      </c>
      <c r="F178" s="118"/>
      <c r="G178" s="194" t="s">
        <v>345</v>
      </c>
      <c r="H178" s="182">
        <v>3500000</v>
      </c>
    </row>
    <row r="179" spans="2:8" ht="16.2" thickBot="1" x14ac:dyDescent="0.35">
      <c r="B179" s="131"/>
      <c r="C179" s="131"/>
      <c r="D179" s="131"/>
      <c r="E179" s="131"/>
      <c r="G179" s="195" t="s">
        <v>131</v>
      </c>
      <c r="H179" s="196">
        <f>SUM(H169:H178)</f>
        <v>15488033.48</v>
      </c>
    </row>
  </sheetData>
  <autoFilter ref="B2:H2" xr:uid="{F6024A49-039C-40F9-8650-18EBEB4FB8F7}">
    <sortState xmlns:xlrd2="http://schemas.microsoft.com/office/spreadsheetml/2017/richdata2" ref="B3:H46">
      <sortCondition ref="G2"/>
    </sortState>
  </autoFilter>
  <pageMargins left="0.511811024" right="0.511811024" top="0.78740157499999996" bottom="0.78740157499999996" header="0.31496062000000002" footer="0.31496062000000002"/>
  <pageSetup paperSize="9" scale="7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A06B-C0D9-4AE9-AFA9-0D88C4129948}">
  <dimension ref="B1:J182"/>
  <sheetViews>
    <sheetView workbookViewId="0">
      <selection activeCell="C7" sqref="C7"/>
    </sheetView>
  </sheetViews>
  <sheetFormatPr defaultRowHeight="14.4" x14ac:dyDescent="0.3"/>
  <cols>
    <col min="1" max="1" width="7.77734375" customWidth="1"/>
    <col min="2" max="2" width="6" style="71" customWidth="1"/>
    <col min="3" max="3" width="22.44140625" customWidth="1"/>
    <col min="4" max="4" width="20.21875" bestFit="1" customWidth="1"/>
    <col min="5" max="5" width="46.5546875" bestFit="1" customWidth="1"/>
    <col min="6" max="6" width="24.88671875" style="71" customWidth="1"/>
    <col min="7" max="7" width="33.21875" style="71" customWidth="1"/>
    <col min="8" max="8" width="19.109375" style="72" customWidth="1"/>
    <col min="9" max="9" width="4.44140625" customWidth="1"/>
    <col min="10" max="10" width="20.109375" customWidth="1"/>
  </cols>
  <sheetData>
    <row r="1" spans="2:9" ht="24" customHeight="1" thickBot="1" x14ac:dyDescent="0.35"/>
    <row r="2" spans="2:9" ht="15" thickBot="1" x14ac:dyDescent="0.35">
      <c r="B2" s="128" t="s">
        <v>162</v>
      </c>
      <c r="C2" s="129" t="s">
        <v>1</v>
      </c>
      <c r="D2" s="149" t="s">
        <v>179</v>
      </c>
      <c r="E2" s="129" t="s">
        <v>102</v>
      </c>
      <c r="F2" s="129" t="s">
        <v>103</v>
      </c>
      <c r="G2" s="129" t="s">
        <v>334</v>
      </c>
      <c r="H2" s="130" t="s">
        <v>82</v>
      </c>
    </row>
    <row r="3" spans="2:9" x14ac:dyDescent="0.3">
      <c r="B3" s="135">
        <v>1</v>
      </c>
      <c r="C3" s="136" t="s">
        <v>242</v>
      </c>
      <c r="D3" s="135" t="s">
        <v>181</v>
      </c>
      <c r="E3" s="136" t="s">
        <v>240</v>
      </c>
      <c r="F3" s="135" t="s">
        <v>243</v>
      </c>
      <c r="G3" s="173" t="s">
        <v>343</v>
      </c>
      <c r="H3" s="137">
        <v>362130.36</v>
      </c>
    </row>
    <row r="4" spans="2:9" x14ac:dyDescent="0.3">
      <c r="B4" s="135">
        <v>1</v>
      </c>
      <c r="C4" s="136" t="s">
        <v>187</v>
      </c>
      <c r="D4" s="135" t="s">
        <v>181</v>
      </c>
      <c r="E4" s="136" t="s">
        <v>189</v>
      </c>
      <c r="F4" s="135" t="s">
        <v>188</v>
      </c>
      <c r="G4" s="173" t="s">
        <v>343</v>
      </c>
      <c r="H4" s="137">
        <v>561100</v>
      </c>
    </row>
    <row r="5" spans="2:9" x14ac:dyDescent="0.3">
      <c r="B5" s="135">
        <v>1</v>
      </c>
      <c r="C5" s="136" t="s">
        <v>194</v>
      </c>
      <c r="D5" s="135" t="s">
        <v>195</v>
      </c>
      <c r="E5" s="136" t="s">
        <v>197</v>
      </c>
      <c r="F5" s="135" t="s">
        <v>426</v>
      </c>
      <c r="G5" s="173" t="s">
        <v>343</v>
      </c>
      <c r="H5" s="137">
        <v>786000</v>
      </c>
    </row>
    <row r="6" spans="2:9" x14ac:dyDescent="0.3">
      <c r="B6" s="135">
        <v>1</v>
      </c>
      <c r="C6" s="136" t="s">
        <v>155</v>
      </c>
      <c r="D6" s="135" t="s">
        <v>191</v>
      </c>
      <c r="E6" s="136" t="s">
        <v>202</v>
      </c>
      <c r="F6" s="135" t="s">
        <v>427</v>
      </c>
      <c r="G6" s="173" t="s">
        <v>343</v>
      </c>
      <c r="H6" s="137">
        <v>934000</v>
      </c>
    </row>
    <row r="7" spans="2:9" x14ac:dyDescent="0.3">
      <c r="B7" s="135">
        <v>1</v>
      </c>
      <c r="C7" s="136" t="s">
        <v>36</v>
      </c>
      <c r="D7" s="135" t="s">
        <v>191</v>
      </c>
      <c r="E7" s="136" t="s">
        <v>210</v>
      </c>
      <c r="F7" s="135" t="s">
        <v>209</v>
      </c>
      <c r="G7" s="173" t="s">
        <v>343</v>
      </c>
      <c r="H7" s="137">
        <v>502200</v>
      </c>
    </row>
    <row r="8" spans="2:9" x14ac:dyDescent="0.3">
      <c r="B8" s="135">
        <v>1</v>
      </c>
      <c r="C8" s="136" t="s">
        <v>213</v>
      </c>
      <c r="D8" s="135" t="s">
        <v>181</v>
      </c>
      <c r="E8" s="136" t="s">
        <v>429</v>
      </c>
      <c r="F8" s="135" t="s">
        <v>214</v>
      </c>
      <c r="G8" s="173" t="s">
        <v>343</v>
      </c>
      <c r="H8" s="137">
        <v>498000</v>
      </c>
    </row>
    <row r="9" spans="2:9" x14ac:dyDescent="0.3">
      <c r="B9" s="135">
        <v>1</v>
      </c>
      <c r="C9" s="221" t="s">
        <v>431</v>
      </c>
      <c r="D9" s="163" t="s">
        <v>181</v>
      </c>
      <c r="E9" s="221" t="s">
        <v>218</v>
      </c>
      <c r="F9" s="163" t="s">
        <v>217</v>
      </c>
      <c r="G9" s="173" t="s">
        <v>343</v>
      </c>
      <c r="H9" s="137">
        <v>2317720</v>
      </c>
    </row>
    <row r="10" spans="2:9" x14ac:dyDescent="0.3">
      <c r="B10" s="135">
        <v>1</v>
      </c>
      <c r="C10" s="221" t="s">
        <v>232</v>
      </c>
      <c r="D10" s="163" t="s">
        <v>434</v>
      </c>
      <c r="E10" s="221" t="s">
        <v>435</v>
      </c>
      <c r="F10" s="163" t="s">
        <v>436</v>
      </c>
      <c r="G10" s="173" t="s">
        <v>343</v>
      </c>
      <c r="H10" s="222">
        <v>450000</v>
      </c>
    </row>
    <row r="11" spans="2:9" ht="15.6" x14ac:dyDescent="0.3">
      <c r="C11" s="147"/>
      <c r="D11" s="147"/>
      <c r="E11" s="147"/>
      <c r="G11" s="122" t="s">
        <v>131</v>
      </c>
      <c r="H11" s="123">
        <f>SUM(H3:H10)</f>
        <v>6411150.3599999994</v>
      </c>
    </row>
    <row r="13" spans="2:9" ht="15" x14ac:dyDescent="0.3">
      <c r="B13" s="141"/>
      <c r="C13" s="131"/>
      <c r="D13" s="131"/>
      <c r="E13" s="131"/>
      <c r="F13" s="131"/>
      <c r="G13" s="131"/>
      <c r="H13" s="131"/>
      <c r="I13" s="131"/>
    </row>
    <row r="14" spans="2:9" ht="1.8" customHeight="1" thickBot="1" x14ac:dyDescent="0.35">
      <c r="B14" s="131"/>
      <c r="C14" s="131"/>
      <c r="D14" s="131"/>
      <c r="E14" s="131"/>
      <c r="F14" s="131"/>
      <c r="G14" s="131"/>
      <c r="H14" s="131"/>
      <c r="I14" s="131"/>
    </row>
    <row r="15" spans="2:9" ht="15.6" thickBot="1" x14ac:dyDescent="0.35">
      <c r="B15" s="132" t="s">
        <v>177</v>
      </c>
      <c r="C15" s="133" t="s">
        <v>178</v>
      </c>
      <c r="D15" s="133" t="s">
        <v>179</v>
      </c>
      <c r="E15" s="133" t="s">
        <v>102</v>
      </c>
      <c r="F15" s="133" t="s">
        <v>103</v>
      </c>
      <c r="G15" s="129" t="s">
        <v>334</v>
      </c>
      <c r="H15" s="134" t="s">
        <v>180</v>
      </c>
    </row>
    <row r="16" spans="2:9" x14ac:dyDescent="0.3">
      <c r="B16" s="135">
        <v>0</v>
      </c>
      <c r="C16" s="136" t="s">
        <v>21</v>
      </c>
      <c r="D16" s="135" t="s">
        <v>181</v>
      </c>
      <c r="E16" s="136" t="s">
        <v>240</v>
      </c>
      <c r="F16" s="135" t="s">
        <v>239</v>
      </c>
      <c r="G16" s="215" t="s">
        <v>432</v>
      </c>
      <c r="H16" s="137">
        <v>645999.5</v>
      </c>
    </row>
    <row r="17" spans="2:10" x14ac:dyDescent="0.3">
      <c r="B17" s="135">
        <v>0</v>
      </c>
      <c r="C17" s="136" t="s">
        <v>78</v>
      </c>
      <c r="D17" s="135" t="s">
        <v>181</v>
      </c>
      <c r="E17" s="136" t="s">
        <v>240</v>
      </c>
      <c r="F17" s="135" t="s">
        <v>241</v>
      </c>
      <c r="G17" s="215" t="s">
        <v>432</v>
      </c>
      <c r="H17" s="137">
        <v>692699.19</v>
      </c>
    </row>
    <row r="18" spans="2:10" x14ac:dyDescent="0.3">
      <c r="B18" s="135">
        <v>0</v>
      </c>
      <c r="C18" s="136" t="s">
        <v>244</v>
      </c>
      <c r="D18" s="135" t="s">
        <v>181</v>
      </c>
      <c r="E18" s="136" t="s">
        <v>240</v>
      </c>
      <c r="F18" s="135" t="s">
        <v>245</v>
      </c>
      <c r="G18" s="215" t="s">
        <v>432</v>
      </c>
      <c r="H18" s="137">
        <v>380969.09</v>
      </c>
    </row>
    <row r="19" spans="2:10" x14ac:dyDescent="0.3">
      <c r="B19" s="135">
        <v>1</v>
      </c>
      <c r="C19" s="136" t="s">
        <v>221</v>
      </c>
      <c r="D19" s="135" t="s">
        <v>181</v>
      </c>
      <c r="E19" s="136" t="s">
        <v>223</v>
      </c>
      <c r="F19" s="135" t="s">
        <v>222</v>
      </c>
      <c r="G19" s="215" t="s">
        <v>432</v>
      </c>
      <c r="H19" s="137">
        <v>1187953.73</v>
      </c>
    </row>
    <row r="20" spans="2:10" x14ac:dyDescent="0.3">
      <c r="B20" s="135">
        <v>1</v>
      </c>
      <c r="C20" s="136" t="s">
        <v>219</v>
      </c>
      <c r="D20" s="135" t="s">
        <v>191</v>
      </c>
      <c r="E20" s="136" t="s">
        <v>193</v>
      </c>
      <c r="F20" s="135" t="s">
        <v>220</v>
      </c>
      <c r="G20" s="215" t="s">
        <v>432</v>
      </c>
      <c r="H20" s="137">
        <v>497199.96</v>
      </c>
    </row>
    <row r="21" spans="2:10" x14ac:dyDescent="0.3">
      <c r="B21" s="135">
        <v>1</v>
      </c>
      <c r="C21" s="136" t="s">
        <v>184</v>
      </c>
      <c r="D21" s="135" t="s">
        <v>181</v>
      </c>
      <c r="E21" s="136" t="s">
        <v>186</v>
      </c>
      <c r="F21" s="135" t="s">
        <v>424</v>
      </c>
      <c r="G21" s="215" t="s">
        <v>432</v>
      </c>
      <c r="H21" s="137">
        <v>1042447.89</v>
      </c>
    </row>
    <row r="22" spans="2:10" x14ac:dyDescent="0.3">
      <c r="B22" s="135">
        <v>1</v>
      </c>
      <c r="C22" s="136" t="s">
        <v>190</v>
      </c>
      <c r="D22" s="135" t="s">
        <v>191</v>
      </c>
      <c r="E22" s="136" t="s">
        <v>193</v>
      </c>
      <c r="F22" s="135" t="s">
        <v>425</v>
      </c>
      <c r="G22" s="215" t="s">
        <v>432</v>
      </c>
      <c r="H22" s="137">
        <v>490400</v>
      </c>
    </row>
    <row r="23" spans="2:10" x14ac:dyDescent="0.3">
      <c r="B23" s="135">
        <v>1</v>
      </c>
      <c r="C23" s="136" t="s">
        <v>8</v>
      </c>
      <c r="D23" s="135" t="s">
        <v>181</v>
      </c>
      <c r="E23" s="136" t="s">
        <v>183</v>
      </c>
      <c r="F23" s="135" t="s">
        <v>182</v>
      </c>
      <c r="G23" s="135" t="s">
        <v>349</v>
      </c>
      <c r="H23" s="137">
        <v>1243971.5</v>
      </c>
    </row>
    <row r="24" spans="2:10" x14ac:dyDescent="0.3">
      <c r="B24" s="135">
        <v>1</v>
      </c>
      <c r="C24" s="136" t="s">
        <v>35</v>
      </c>
      <c r="D24" s="160" t="s">
        <v>181</v>
      </c>
      <c r="E24" s="136" t="s">
        <v>199</v>
      </c>
      <c r="F24" s="135" t="s">
        <v>198</v>
      </c>
      <c r="G24" s="135" t="s">
        <v>349</v>
      </c>
      <c r="H24" s="137">
        <v>444316.1</v>
      </c>
    </row>
    <row r="25" spans="2:10" x14ac:dyDescent="0.3">
      <c r="B25" s="135">
        <v>1</v>
      </c>
      <c r="C25" s="136" t="s">
        <v>203</v>
      </c>
      <c r="D25" s="135" t="s">
        <v>181</v>
      </c>
      <c r="E25" s="136" t="s">
        <v>205</v>
      </c>
      <c r="F25" s="135" t="s">
        <v>204</v>
      </c>
      <c r="G25" s="135" t="s">
        <v>349</v>
      </c>
      <c r="H25" s="137">
        <v>650000.72</v>
      </c>
    </row>
    <row r="26" spans="2:10" x14ac:dyDescent="0.3">
      <c r="B26" s="135">
        <v>1</v>
      </c>
      <c r="C26" s="136" t="s">
        <v>206</v>
      </c>
      <c r="D26" s="163" t="s">
        <v>181</v>
      </c>
      <c r="E26" s="136" t="s">
        <v>430</v>
      </c>
      <c r="F26" s="135" t="s">
        <v>207</v>
      </c>
      <c r="G26" s="135" t="s">
        <v>349</v>
      </c>
      <c r="H26" s="137">
        <v>327811.46999999997</v>
      </c>
    </row>
    <row r="27" spans="2:10" x14ac:dyDescent="0.3">
      <c r="B27" s="135">
        <v>1</v>
      </c>
      <c r="C27" s="136" t="s">
        <v>211</v>
      </c>
      <c r="D27" s="135" t="s">
        <v>181</v>
      </c>
      <c r="E27" s="136" t="s">
        <v>212</v>
      </c>
      <c r="F27" s="135" t="s">
        <v>428</v>
      </c>
      <c r="G27" s="135" t="s">
        <v>349</v>
      </c>
      <c r="H27" s="137">
        <v>750848.62</v>
      </c>
    </row>
    <row r="28" spans="2:10" ht="15.6" x14ac:dyDescent="0.3">
      <c r="B28" s="138"/>
      <c r="C28" s="138"/>
      <c r="D28" s="138"/>
      <c r="E28" s="138"/>
      <c r="G28" s="122" t="s">
        <v>131</v>
      </c>
      <c r="H28" s="123">
        <f>SUM(H4:H27)</f>
        <v>20814788.129999999</v>
      </c>
    </row>
    <row r="29" spans="2:10" ht="16.2" thickBot="1" x14ac:dyDescent="0.35">
      <c r="B29" s="138"/>
      <c r="C29" s="138"/>
      <c r="D29" s="138"/>
      <c r="E29" s="138"/>
      <c r="F29" s="145"/>
      <c r="G29" s="145"/>
      <c r="H29" s="146"/>
      <c r="J29" s="72"/>
    </row>
    <row r="30" spans="2:10" ht="20.399999999999999" customHeight="1" thickBot="1" x14ac:dyDescent="0.35">
      <c r="C30" s="147"/>
      <c r="D30" s="147"/>
      <c r="E30" s="147"/>
      <c r="G30" s="216" t="s">
        <v>433</v>
      </c>
      <c r="H30" s="217">
        <f>H11+H28</f>
        <v>27225938.489999998</v>
      </c>
    </row>
    <row r="35" spans="2:8" ht="15.6" x14ac:dyDescent="0.3">
      <c r="B35" s="220" t="s">
        <v>461</v>
      </c>
    </row>
    <row r="36" spans="2:8" ht="4.2" customHeight="1" thickBot="1" x14ac:dyDescent="0.35"/>
    <row r="37" spans="2:8" ht="15" x14ac:dyDescent="0.3">
      <c r="B37" s="218" t="s">
        <v>177</v>
      </c>
      <c r="C37" s="219" t="s">
        <v>178</v>
      </c>
      <c r="D37" s="219" t="s">
        <v>179</v>
      </c>
      <c r="E37" s="219" t="s">
        <v>102</v>
      </c>
      <c r="F37" s="219" t="s">
        <v>103</v>
      </c>
      <c r="G37" s="149" t="s">
        <v>334</v>
      </c>
      <c r="H37" s="134" t="s">
        <v>180</v>
      </c>
    </row>
    <row r="38" spans="2:8" x14ac:dyDescent="0.3">
      <c r="B38" s="118">
        <v>2</v>
      </c>
      <c r="C38" s="119" t="s">
        <v>437</v>
      </c>
      <c r="D38" s="118" t="s">
        <v>280</v>
      </c>
      <c r="E38" s="119" t="s">
        <v>354</v>
      </c>
      <c r="F38" s="118" t="s">
        <v>451</v>
      </c>
      <c r="G38" s="215" t="s">
        <v>432</v>
      </c>
      <c r="H38" s="120">
        <v>398100</v>
      </c>
    </row>
    <row r="39" spans="2:8" x14ac:dyDescent="0.3">
      <c r="B39" s="118">
        <v>2</v>
      </c>
      <c r="C39" s="119" t="s">
        <v>6</v>
      </c>
      <c r="D39" s="118" t="s">
        <v>439</v>
      </c>
      <c r="E39" s="119" t="s">
        <v>193</v>
      </c>
      <c r="F39" s="118" t="s">
        <v>452</v>
      </c>
      <c r="G39" s="226" t="s">
        <v>455</v>
      </c>
      <c r="H39" s="120">
        <v>496705.87</v>
      </c>
    </row>
    <row r="40" spans="2:8" x14ac:dyDescent="0.3">
      <c r="B40" s="118">
        <v>2</v>
      </c>
      <c r="C40" s="119" t="s">
        <v>273</v>
      </c>
      <c r="D40" s="118" t="s">
        <v>438</v>
      </c>
      <c r="E40" s="119" t="s">
        <v>276</v>
      </c>
      <c r="F40" s="118" t="s">
        <v>449</v>
      </c>
      <c r="G40" s="226" t="s">
        <v>455</v>
      </c>
      <c r="H40" s="120">
        <v>800000</v>
      </c>
    </row>
    <row r="41" spans="2:8" x14ac:dyDescent="0.3">
      <c r="B41" s="118">
        <v>2</v>
      </c>
      <c r="C41" s="119" t="s">
        <v>252</v>
      </c>
      <c r="D41" s="118" t="s">
        <v>181</v>
      </c>
      <c r="E41" s="119" t="s">
        <v>254</v>
      </c>
      <c r="F41" s="118" t="s">
        <v>253</v>
      </c>
      <c r="G41" s="226" t="s">
        <v>455</v>
      </c>
      <c r="H41" s="120">
        <v>933365</v>
      </c>
    </row>
    <row r="42" spans="2:8" x14ac:dyDescent="0.3">
      <c r="B42" s="118">
        <v>2</v>
      </c>
      <c r="C42" s="119" t="s">
        <v>194</v>
      </c>
      <c r="D42" s="118" t="s">
        <v>181</v>
      </c>
      <c r="E42" s="119" t="s">
        <v>310</v>
      </c>
      <c r="F42" s="118" t="s">
        <v>256</v>
      </c>
      <c r="G42" s="226" t="s">
        <v>455</v>
      </c>
      <c r="H42" s="120">
        <v>878808.24</v>
      </c>
    </row>
    <row r="43" spans="2:8" x14ac:dyDescent="0.3">
      <c r="B43" s="118">
        <v>2</v>
      </c>
      <c r="C43" s="119" t="s">
        <v>309</v>
      </c>
      <c r="D43" s="118" t="s">
        <v>440</v>
      </c>
      <c r="E43" s="119" t="s">
        <v>440</v>
      </c>
      <c r="F43" s="118" t="s">
        <v>330</v>
      </c>
      <c r="G43" s="226" t="s">
        <v>455</v>
      </c>
      <c r="H43" s="120">
        <v>1618242.16</v>
      </c>
    </row>
    <row r="44" spans="2:8" x14ac:dyDescent="0.3">
      <c r="B44" s="118">
        <v>2</v>
      </c>
      <c r="C44" s="119" t="s">
        <v>260</v>
      </c>
      <c r="D44" s="118" t="s">
        <v>181</v>
      </c>
      <c r="E44" s="119" t="s">
        <v>262</v>
      </c>
      <c r="F44" s="118" t="s">
        <v>261</v>
      </c>
      <c r="G44" s="226" t="s">
        <v>455</v>
      </c>
      <c r="H44" s="120">
        <v>552987</v>
      </c>
    </row>
    <row r="45" spans="2:8" x14ac:dyDescent="0.3">
      <c r="B45" s="118">
        <v>2</v>
      </c>
      <c r="C45" s="119" t="s">
        <v>290</v>
      </c>
      <c r="D45" s="118" t="s">
        <v>181</v>
      </c>
      <c r="E45" s="119" t="s">
        <v>292</v>
      </c>
      <c r="F45" s="118" t="s">
        <v>291</v>
      </c>
      <c r="G45" s="226" t="s">
        <v>455</v>
      </c>
      <c r="H45" s="120">
        <v>4543923.28</v>
      </c>
    </row>
    <row r="46" spans="2:8" x14ac:dyDescent="0.3">
      <c r="B46" s="118">
        <v>2</v>
      </c>
      <c r="C46" s="119" t="s">
        <v>23</v>
      </c>
      <c r="D46" s="118" t="s">
        <v>288</v>
      </c>
      <c r="E46" s="119" t="s">
        <v>442</v>
      </c>
      <c r="F46" s="118" t="s">
        <v>332</v>
      </c>
      <c r="G46" s="226" t="s">
        <v>455</v>
      </c>
      <c r="H46" s="120">
        <v>3328027.12</v>
      </c>
    </row>
    <row r="47" spans="2:8" x14ac:dyDescent="0.3">
      <c r="B47" s="118">
        <v>2</v>
      </c>
      <c r="C47" s="119" t="s">
        <v>263</v>
      </c>
      <c r="D47" s="118" t="s">
        <v>439</v>
      </c>
      <c r="E47" s="119" t="s">
        <v>193</v>
      </c>
      <c r="F47" s="118" t="s">
        <v>453</v>
      </c>
      <c r="G47" s="226" t="s">
        <v>455</v>
      </c>
      <c r="H47" s="120">
        <v>496705.87</v>
      </c>
    </row>
    <row r="48" spans="2:8" x14ac:dyDescent="0.3">
      <c r="B48" s="118">
        <v>2</v>
      </c>
      <c r="C48" s="119" t="s">
        <v>264</v>
      </c>
      <c r="D48" s="118" t="s">
        <v>181</v>
      </c>
      <c r="E48" s="119" t="s">
        <v>266</v>
      </c>
      <c r="F48" s="118" t="s">
        <v>265</v>
      </c>
      <c r="G48" s="226" t="s">
        <v>455</v>
      </c>
      <c r="H48" s="120">
        <v>945208.63</v>
      </c>
    </row>
    <row r="49" spans="2:9" x14ac:dyDescent="0.3">
      <c r="B49" s="118">
        <v>2</v>
      </c>
      <c r="C49" s="119" t="s">
        <v>267</v>
      </c>
      <c r="D49" s="118" t="s">
        <v>181</v>
      </c>
      <c r="E49" s="119" t="s">
        <v>269</v>
      </c>
      <c r="F49" s="118" t="s">
        <v>268</v>
      </c>
      <c r="G49" s="226" t="s">
        <v>455</v>
      </c>
      <c r="H49" s="120">
        <v>603731.81999999995</v>
      </c>
    </row>
    <row r="50" spans="2:9" x14ac:dyDescent="0.3">
      <c r="B50" s="118">
        <v>2</v>
      </c>
      <c r="C50" s="119" t="s">
        <v>79</v>
      </c>
      <c r="D50" s="118" t="s">
        <v>181</v>
      </c>
      <c r="E50" s="119" t="s">
        <v>446</v>
      </c>
      <c r="F50" s="118" t="s">
        <v>333</v>
      </c>
      <c r="G50" s="226" t="s">
        <v>455</v>
      </c>
      <c r="H50" s="120">
        <v>726450</v>
      </c>
    </row>
    <row r="51" spans="2:9" x14ac:dyDescent="0.3">
      <c r="B51" s="118">
        <v>2</v>
      </c>
      <c r="C51" s="119" t="s">
        <v>270</v>
      </c>
      <c r="D51" s="118" t="s">
        <v>181</v>
      </c>
      <c r="E51" s="119" t="s">
        <v>447</v>
      </c>
      <c r="F51" s="118" t="s">
        <v>271</v>
      </c>
      <c r="G51" s="226" t="s">
        <v>455</v>
      </c>
      <c r="H51" s="120">
        <v>752115</v>
      </c>
    </row>
    <row r="52" spans="2:9" x14ac:dyDescent="0.3">
      <c r="B52" s="223">
        <v>2</v>
      </c>
      <c r="C52" s="224" t="s">
        <v>457</v>
      </c>
      <c r="D52" s="223" t="s">
        <v>439</v>
      </c>
      <c r="E52" s="224" t="s">
        <v>458</v>
      </c>
      <c r="F52" s="223" t="s">
        <v>459</v>
      </c>
      <c r="G52" s="227" t="s">
        <v>455</v>
      </c>
      <c r="H52" s="225">
        <v>800000</v>
      </c>
    </row>
    <row r="53" spans="2:9" x14ac:dyDescent="0.3">
      <c r="B53" s="223">
        <v>2</v>
      </c>
      <c r="C53" s="224" t="s">
        <v>167</v>
      </c>
      <c r="D53" s="223" t="s">
        <v>441</v>
      </c>
      <c r="E53" s="224" t="s">
        <v>445</v>
      </c>
      <c r="F53" s="223" t="s">
        <v>454</v>
      </c>
      <c r="G53" s="227" t="s">
        <v>455</v>
      </c>
      <c r="H53" s="225">
        <v>6288356.7699999996</v>
      </c>
    </row>
    <row r="54" spans="2:9" x14ac:dyDescent="0.3">
      <c r="B54" s="223">
        <v>2</v>
      </c>
      <c r="C54" s="224" t="s">
        <v>282</v>
      </c>
      <c r="D54" s="223" t="s">
        <v>283</v>
      </c>
      <c r="E54" s="224" t="s">
        <v>285</v>
      </c>
      <c r="F54" s="223" t="s">
        <v>277</v>
      </c>
      <c r="G54" s="228" t="s">
        <v>351</v>
      </c>
      <c r="H54" s="225">
        <v>244180</v>
      </c>
    </row>
    <row r="55" spans="2:9" x14ac:dyDescent="0.3">
      <c r="B55" s="223">
        <v>2</v>
      </c>
      <c r="C55" s="224" t="s">
        <v>11</v>
      </c>
      <c r="D55" s="223" t="s">
        <v>288</v>
      </c>
      <c r="E55" s="224" t="s">
        <v>289</v>
      </c>
      <c r="F55" s="223" t="s">
        <v>277</v>
      </c>
      <c r="G55" s="228" t="s">
        <v>351</v>
      </c>
      <c r="H55" s="225">
        <v>2000000</v>
      </c>
    </row>
    <row r="56" spans="2:9" x14ac:dyDescent="0.3">
      <c r="B56" s="223">
        <v>2</v>
      </c>
      <c r="C56" s="224" t="s">
        <v>6</v>
      </c>
      <c r="D56" s="223" t="s">
        <v>181</v>
      </c>
      <c r="E56" s="224" t="s">
        <v>443</v>
      </c>
      <c r="F56" s="223" t="s">
        <v>277</v>
      </c>
      <c r="G56" s="228" t="s">
        <v>351</v>
      </c>
      <c r="H56" s="225">
        <v>1500000</v>
      </c>
    </row>
    <row r="57" spans="2:9" x14ac:dyDescent="0.3">
      <c r="B57" s="223">
        <v>2</v>
      </c>
      <c r="C57" s="224" t="s">
        <v>325</v>
      </c>
      <c r="D57" s="223" t="s">
        <v>438</v>
      </c>
      <c r="E57" s="224" t="s">
        <v>448</v>
      </c>
      <c r="F57" s="223" t="s">
        <v>277</v>
      </c>
      <c r="G57" s="228" t="s">
        <v>351</v>
      </c>
      <c r="H57" s="225">
        <v>150000</v>
      </c>
    </row>
    <row r="58" spans="2:9" x14ac:dyDescent="0.3">
      <c r="B58" s="118">
        <v>2</v>
      </c>
      <c r="C58" s="119" t="s">
        <v>456</v>
      </c>
      <c r="D58" s="118" t="s">
        <v>438</v>
      </c>
      <c r="E58" s="119" t="s">
        <v>444</v>
      </c>
      <c r="F58" s="118" t="s">
        <v>277</v>
      </c>
      <c r="G58" s="229" t="s">
        <v>351</v>
      </c>
      <c r="H58" s="120">
        <v>3700000</v>
      </c>
    </row>
    <row r="59" spans="2:9" x14ac:dyDescent="0.3">
      <c r="B59" s="118">
        <v>2</v>
      </c>
      <c r="C59" s="119" t="s">
        <v>258</v>
      </c>
      <c r="D59" s="118" t="s">
        <v>181</v>
      </c>
      <c r="E59" s="119" t="s">
        <v>310</v>
      </c>
      <c r="F59" s="118" t="s">
        <v>259</v>
      </c>
      <c r="G59" s="229" t="s">
        <v>351</v>
      </c>
      <c r="H59" s="120">
        <v>829718.98</v>
      </c>
    </row>
    <row r="60" spans="2:9" x14ac:dyDescent="0.3">
      <c r="B60" s="118">
        <v>2</v>
      </c>
      <c r="C60" s="119" t="s">
        <v>279</v>
      </c>
      <c r="D60" s="118" t="s">
        <v>280</v>
      </c>
      <c r="E60" s="119" t="s">
        <v>281</v>
      </c>
      <c r="F60" s="118" t="s">
        <v>450</v>
      </c>
      <c r="G60" s="229" t="s">
        <v>351</v>
      </c>
      <c r="H60" s="120">
        <v>500000</v>
      </c>
    </row>
    <row r="61" spans="2:9" ht="15.6" x14ac:dyDescent="0.3">
      <c r="G61" s="122" t="s">
        <v>131</v>
      </c>
      <c r="H61" s="123">
        <f>SUM(H38:H60)</f>
        <v>33086625.740000002</v>
      </c>
    </row>
    <row r="64" spans="2:9" ht="15.6" x14ac:dyDescent="0.3">
      <c r="B64" s="157" t="s">
        <v>323</v>
      </c>
      <c r="C64" s="138"/>
      <c r="D64" s="138"/>
      <c r="E64" s="138"/>
      <c r="F64" s="156"/>
      <c r="G64" s="156"/>
      <c r="H64" s="139"/>
      <c r="I64" s="140"/>
    </row>
    <row r="65" spans="2:9" ht="3" customHeight="1" thickBot="1" x14ac:dyDescent="0.35">
      <c r="B65" s="156"/>
      <c r="C65" s="138"/>
      <c r="D65" s="138"/>
      <c r="E65" s="138"/>
      <c r="F65" s="156"/>
      <c r="G65" s="156"/>
      <c r="H65" s="139"/>
      <c r="I65" s="140"/>
    </row>
    <row r="66" spans="2:9" ht="15.6" thickBot="1" x14ac:dyDescent="0.35">
      <c r="B66" s="132" t="s">
        <v>177</v>
      </c>
      <c r="C66" s="133" t="s">
        <v>178</v>
      </c>
      <c r="D66" s="133" t="s">
        <v>179</v>
      </c>
      <c r="E66" s="133" t="s">
        <v>102</v>
      </c>
      <c r="F66" s="133" t="s">
        <v>103</v>
      </c>
      <c r="G66" s="166" t="s">
        <v>334</v>
      </c>
      <c r="H66" s="134" t="s">
        <v>180</v>
      </c>
    </row>
    <row r="67" spans="2:9" x14ac:dyDescent="0.3">
      <c r="B67" s="153">
        <v>3</v>
      </c>
      <c r="C67" s="135" t="s">
        <v>293</v>
      </c>
      <c r="D67" s="135" t="s">
        <v>294</v>
      </c>
      <c r="E67" s="135" t="s">
        <v>193</v>
      </c>
      <c r="F67" s="153" t="s">
        <v>277</v>
      </c>
      <c r="G67" s="169" t="s">
        <v>350</v>
      </c>
      <c r="H67" s="137">
        <v>496705.87</v>
      </c>
    </row>
    <row r="68" spans="2:9" x14ac:dyDescent="0.3">
      <c r="B68" s="153">
        <v>3</v>
      </c>
      <c r="C68" s="135" t="s">
        <v>295</v>
      </c>
      <c r="D68" s="135" t="s">
        <v>181</v>
      </c>
      <c r="E68" s="135" t="s">
        <v>296</v>
      </c>
      <c r="F68" s="153" t="s">
        <v>277</v>
      </c>
      <c r="G68" s="169" t="s">
        <v>350</v>
      </c>
      <c r="H68" s="137">
        <v>700000</v>
      </c>
    </row>
    <row r="69" spans="2:9" x14ac:dyDescent="0.3">
      <c r="B69" s="153">
        <v>3</v>
      </c>
      <c r="C69" s="135" t="s">
        <v>11</v>
      </c>
      <c r="D69" s="135" t="s">
        <v>181</v>
      </c>
      <c r="E69" s="135" t="s">
        <v>464</v>
      </c>
      <c r="F69" s="153" t="s">
        <v>277</v>
      </c>
      <c r="G69" s="169" t="s">
        <v>350</v>
      </c>
      <c r="H69" s="137">
        <v>1000000</v>
      </c>
    </row>
    <row r="70" spans="2:9" x14ac:dyDescent="0.3">
      <c r="B70" s="153">
        <v>3</v>
      </c>
      <c r="C70" s="135" t="s">
        <v>297</v>
      </c>
      <c r="D70" s="135" t="s">
        <v>181</v>
      </c>
      <c r="E70" s="135" t="s">
        <v>298</v>
      </c>
      <c r="F70" s="153" t="s">
        <v>277</v>
      </c>
      <c r="G70" s="169" t="s">
        <v>350</v>
      </c>
      <c r="H70" s="137">
        <v>0</v>
      </c>
    </row>
    <row r="71" spans="2:9" x14ac:dyDescent="0.3">
      <c r="B71" s="153">
        <v>3</v>
      </c>
      <c r="C71" s="135" t="s">
        <v>299</v>
      </c>
      <c r="D71" s="135" t="s">
        <v>294</v>
      </c>
      <c r="E71" s="135" t="s">
        <v>460</v>
      </c>
      <c r="F71" s="153" t="s">
        <v>277</v>
      </c>
      <c r="G71" s="169" t="s">
        <v>350</v>
      </c>
      <c r="H71" s="137">
        <v>500000</v>
      </c>
    </row>
    <row r="72" spans="2:9" x14ac:dyDescent="0.3">
      <c r="B72" s="153">
        <v>3</v>
      </c>
      <c r="C72" s="135" t="s">
        <v>13</v>
      </c>
      <c r="D72" s="135" t="s">
        <v>181</v>
      </c>
      <c r="E72" s="135" t="s">
        <v>296</v>
      </c>
      <c r="F72" s="153" t="s">
        <v>277</v>
      </c>
      <c r="G72" s="169" t="s">
        <v>350</v>
      </c>
      <c r="H72" s="137">
        <v>750000</v>
      </c>
    </row>
    <row r="73" spans="2:9" x14ac:dyDescent="0.3">
      <c r="B73" s="153">
        <v>3</v>
      </c>
      <c r="C73" s="135" t="s">
        <v>13</v>
      </c>
      <c r="D73" s="135" t="s">
        <v>280</v>
      </c>
      <c r="E73" s="135" t="s">
        <v>354</v>
      </c>
      <c r="F73" s="153" t="s">
        <v>277</v>
      </c>
      <c r="G73" s="169" t="s">
        <v>350</v>
      </c>
      <c r="H73" s="137">
        <v>750000</v>
      </c>
    </row>
    <row r="74" spans="2:9" x14ac:dyDescent="0.3">
      <c r="B74" s="153">
        <v>3</v>
      </c>
      <c r="C74" s="135" t="s">
        <v>13</v>
      </c>
      <c r="D74" s="135" t="s">
        <v>280</v>
      </c>
      <c r="E74" s="135" t="s">
        <v>353</v>
      </c>
      <c r="F74" s="153" t="s">
        <v>277</v>
      </c>
      <c r="G74" s="169" t="s">
        <v>350</v>
      </c>
      <c r="H74" s="137">
        <v>1500000</v>
      </c>
    </row>
    <row r="75" spans="2:9" x14ac:dyDescent="0.3">
      <c r="B75" s="153">
        <v>3</v>
      </c>
      <c r="C75" s="135" t="s">
        <v>302</v>
      </c>
      <c r="D75" s="135" t="s">
        <v>181</v>
      </c>
      <c r="E75" s="135" t="s">
        <v>303</v>
      </c>
      <c r="F75" s="153" t="s">
        <v>277</v>
      </c>
      <c r="G75" s="169" t="s">
        <v>350</v>
      </c>
      <c r="H75" s="137">
        <v>560000</v>
      </c>
    </row>
    <row r="76" spans="2:9" x14ac:dyDescent="0.3">
      <c r="B76" s="153">
        <v>3</v>
      </c>
      <c r="C76" s="135" t="s">
        <v>304</v>
      </c>
      <c r="D76" s="135" t="s">
        <v>181</v>
      </c>
      <c r="E76" s="135" t="s">
        <v>305</v>
      </c>
      <c r="F76" s="153" t="s">
        <v>277</v>
      </c>
      <c r="G76" s="169" t="s">
        <v>350</v>
      </c>
      <c r="H76" s="137">
        <v>500000</v>
      </c>
    </row>
    <row r="77" spans="2:9" x14ac:dyDescent="0.3">
      <c r="B77" s="153">
        <v>3</v>
      </c>
      <c r="C77" s="135" t="s">
        <v>306</v>
      </c>
      <c r="D77" s="135" t="s">
        <v>181</v>
      </c>
      <c r="E77" s="135" t="s">
        <v>296</v>
      </c>
      <c r="F77" s="153" t="s">
        <v>277</v>
      </c>
      <c r="G77" s="169" t="s">
        <v>350</v>
      </c>
      <c r="H77" s="137">
        <v>700000</v>
      </c>
    </row>
    <row r="78" spans="2:9" x14ac:dyDescent="0.3">
      <c r="B78" s="153">
        <v>3</v>
      </c>
      <c r="C78" s="135" t="s">
        <v>306</v>
      </c>
      <c r="D78" s="135" t="s">
        <v>294</v>
      </c>
      <c r="E78" s="135" t="s">
        <v>193</v>
      </c>
      <c r="F78" s="153" t="s">
        <v>277</v>
      </c>
      <c r="G78" s="169" t="s">
        <v>350</v>
      </c>
      <c r="H78" s="137">
        <v>496705.87</v>
      </c>
    </row>
    <row r="79" spans="2:9" x14ac:dyDescent="0.3">
      <c r="B79" s="153">
        <v>3</v>
      </c>
      <c r="C79" s="135" t="s">
        <v>307</v>
      </c>
      <c r="D79" s="135" t="s">
        <v>181</v>
      </c>
      <c r="E79" s="135" t="s">
        <v>308</v>
      </c>
      <c r="F79" s="153" t="s">
        <v>277</v>
      </c>
      <c r="G79" s="169" t="s">
        <v>350</v>
      </c>
      <c r="H79" s="137">
        <v>980000</v>
      </c>
    </row>
    <row r="80" spans="2:9" x14ac:dyDescent="0.3">
      <c r="B80" s="153">
        <v>3</v>
      </c>
      <c r="C80" s="135" t="s">
        <v>355</v>
      </c>
      <c r="D80" s="135" t="s">
        <v>181</v>
      </c>
      <c r="E80" s="135" t="s">
        <v>296</v>
      </c>
      <c r="F80" s="153" t="s">
        <v>277</v>
      </c>
      <c r="G80" s="169" t="s">
        <v>350</v>
      </c>
      <c r="H80" s="137">
        <v>750000</v>
      </c>
    </row>
    <row r="81" spans="2:8" x14ac:dyDescent="0.3">
      <c r="B81" s="153">
        <v>3</v>
      </c>
      <c r="C81" s="135" t="s">
        <v>309</v>
      </c>
      <c r="D81" s="135" t="s">
        <v>181</v>
      </c>
      <c r="E81" s="135" t="s">
        <v>310</v>
      </c>
      <c r="F81" s="153" t="s">
        <v>277</v>
      </c>
      <c r="G81" s="169" t="s">
        <v>350</v>
      </c>
      <c r="H81" s="137">
        <v>800000</v>
      </c>
    </row>
    <row r="82" spans="2:8" x14ac:dyDescent="0.3">
      <c r="B82" s="153">
        <v>3</v>
      </c>
      <c r="C82" s="135" t="s">
        <v>258</v>
      </c>
      <c r="D82" s="163" t="s">
        <v>181</v>
      </c>
      <c r="E82" s="135" t="s">
        <v>278</v>
      </c>
      <c r="F82" s="153" t="s">
        <v>277</v>
      </c>
      <c r="G82" s="169" t="s">
        <v>350</v>
      </c>
      <c r="H82" s="137">
        <v>522000</v>
      </c>
    </row>
    <row r="83" spans="2:8" x14ac:dyDescent="0.3">
      <c r="B83" s="153">
        <v>3</v>
      </c>
      <c r="C83" s="135" t="s">
        <v>95</v>
      </c>
      <c r="D83" s="135" t="s">
        <v>181</v>
      </c>
      <c r="E83" s="135" t="s">
        <v>311</v>
      </c>
      <c r="F83" s="153" t="s">
        <v>277</v>
      </c>
      <c r="G83" s="169" t="s">
        <v>350</v>
      </c>
      <c r="H83" s="137">
        <v>4350000</v>
      </c>
    </row>
    <row r="84" spans="2:8" x14ac:dyDescent="0.3">
      <c r="B84" s="153">
        <v>3</v>
      </c>
      <c r="C84" s="135" t="s">
        <v>95</v>
      </c>
      <c r="D84" s="135" t="s">
        <v>294</v>
      </c>
      <c r="E84" s="135" t="s">
        <v>462</v>
      </c>
      <c r="F84" s="153" t="s">
        <v>277</v>
      </c>
      <c r="G84" s="169" t="s">
        <v>350</v>
      </c>
      <c r="H84" s="137">
        <v>500000</v>
      </c>
    </row>
    <row r="85" spans="2:8" x14ac:dyDescent="0.3">
      <c r="B85" s="153">
        <v>3</v>
      </c>
      <c r="C85" s="135" t="s">
        <v>95</v>
      </c>
      <c r="D85" s="135" t="s">
        <v>294</v>
      </c>
      <c r="E85" s="135" t="s">
        <v>463</v>
      </c>
      <c r="F85" s="153" t="s">
        <v>277</v>
      </c>
      <c r="G85" s="169" t="s">
        <v>350</v>
      </c>
      <c r="H85" s="137">
        <v>700000</v>
      </c>
    </row>
    <row r="86" spans="2:8" x14ac:dyDescent="0.3">
      <c r="B86" s="153">
        <v>3</v>
      </c>
      <c r="C86" s="135" t="s">
        <v>312</v>
      </c>
      <c r="D86" s="135" t="s">
        <v>181</v>
      </c>
      <c r="E86" s="135" t="s">
        <v>199</v>
      </c>
      <c r="F86" s="153" t="s">
        <v>277</v>
      </c>
      <c r="G86" s="169" t="s">
        <v>350</v>
      </c>
      <c r="H86" s="137">
        <v>420000</v>
      </c>
    </row>
    <row r="87" spans="2:8" x14ac:dyDescent="0.3">
      <c r="B87" s="153">
        <v>3</v>
      </c>
      <c r="C87" s="135" t="s">
        <v>313</v>
      </c>
      <c r="D87" s="135" t="s">
        <v>181</v>
      </c>
      <c r="E87" s="135" t="s">
        <v>310</v>
      </c>
      <c r="F87" s="153" t="s">
        <v>277</v>
      </c>
      <c r="G87" s="169" t="s">
        <v>350</v>
      </c>
      <c r="H87" s="137">
        <v>870000</v>
      </c>
    </row>
    <row r="88" spans="2:8" x14ac:dyDescent="0.3">
      <c r="B88" s="153">
        <v>3</v>
      </c>
      <c r="C88" s="135" t="s">
        <v>317</v>
      </c>
      <c r="D88" s="135" t="s">
        <v>181</v>
      </c>
      <c r="E88" s="135" t="s">
        <v>318</v>
      </c>
      <c r="F88" s="153" t="s">
        <v>277</v>
      </c>
      <c r="G88" s="169" t="s">
        <v>350</v>
      </c>
      <c r="H88" s="137">
        <v>448000</v>
      </c>
    </row>
    <row r="89" spans="2:8" x14ac:dyDescent="0.3">
      <c r="B89" s="153">
        <v>3</v>
      </c>
      <c r="C89" s="135" t="s">
        <v>282</v>
      </c>
      <c r="D89" s="135" t="s">
        <v>294</v>
      </c>
      <c r="E89" s="135" t="s">
        <v>193</v>
      </c>
      <c r="F89" s="153" t="s">
        <v>277</v>
      </c>
      <c r="G89" s="169" t="s">
        <v>350</v>
      </c>
      <c r="H89" s="137">
        <v>496705.87</v>
      </c>
    </row>
    <row r="90" spans="2:8" x14ac:dyDescent="0.3">
      <c r="B90" s="153">
        <v>3</v>
      </c>
      <c r="C90" s="135" t="s">
        <v>319</v>
      </c>
      <c r="D90" s="135" t="s">
        <v>181</v>
      </c>
      <c r="E90" s="135" t="s">
        <v>285</v>
      </c>
      <c r="F90" s="153" t="s">
        <v>277</v>
      </c>
      <c r="G90" s="169" t="s">
        <v>350</v>
      </c>
      <c r="H90" s="137">
        <v>260000</v>
      </c>
    </row>
    <row r="91" spans="2:8" x14ac:dyDescent="0.3">
      <c r="B91" s="153">
        <v>3</v>
      </c>
      <c r="C91" s="135" t="s">
        <v>320</v>
      </c>
      <c r="D91" s="135" t="s">
        <v>181</v>
      </c>
      <c r="E91" s="135" t="s">
        <v>346</v>
      </c>
      <c r="F91" s="153" t="s">
        <v>277</v>
      </c>
      <c r="G91" s="169" t="s">
        <v>350</v>
      </c>
      <c r="H91" s="137">
        <v>1400000</v>
      </c>
    </row>
    <row r="92" spans="2:8" x14ac:dyDescent="0.3">
      <c r="B92" s="153">
        <v>3</v>
      </c>
      <c r="C92" s="135" t="s">
        <v>286</v>
      </c>
      <c r="D92" s="135" t="s">
        <v>181</v>
      </c>
      <c r="E92" s="135" t="s">
        <v>287</v>
      </c>
      <c r="F92" s="153" t="s">
        <v>277</v>
      </c>
      <c r="G92" s="169" t="s">
        <v>350</v>
      </c>
      <c r="H92" s="137">
        <v>1500000</v>
      </c>
    </row>
    <row r="93" spans="2:8" x14ac:dyDescent="0.3">
      <c r="B93" s="153">
        <v>3</v>
      </c>
      <c r="C93" s="135" t="s">
        <v>314</v>
      </c>
      <c r="D93" s="135" t="s">
        <v>181</v>
      </c>
      <c r="E93" s="135" t="s">
        <v>255</v>
      </c>
      <c r="F93" s="153" t="s">
        <v>277</v>
      </c>
      <c r="G93" s="169" t="s">
        <v>350</v>
      </c>
      <c r="H93" s="137">
        <v>5000000</v>
      </c>
    </row>
    <row r="94" spans="2:8" x14ac:dyDescent="0.3">
      <c r="B94" s="153">
        <v>3</v>
      </c>
      <c r="C94" s="135" t="s">
        <v>316</v>
      </c>
      <c r="D94" s="135" t="s">
        <v>181</v>
      </c>
      <c r="E94" s="135" t="s">
        <v>255</v>
      </c>
      <c r="F94" s="153" t="s">
        <v>277</v>
      </c>
      <c r="G94" s="169" t="s">
        <v>350</v>
      </c>
      <c r="H94" s="137">
        <v>3500000</v>
      </c>
    </row>
    <row r="95" spans="2:8" x14ac:dyDescent="0.3">
      <c r="B95" s="153">
        <v>3</v>
      </c>
      <c r="C95" s="135" t="s">
        <v>315</v>
      </c>
      <c r="D95" s="135" t="s">
        <v>181</v>
      </c>
      <c r="E95" s="135" t="s">
        <v>255</v>
      </c>
      <c r="F95" s="153" t="s">
        <v>277</v>
      </c>
      <c r="G95" s="169" t="s">
        <v>350</v>
      </c>
      <c r="H95" s="137">
        <v>0</v>
      </c>
    </row>
    <row r="96" spans="2:8" ht="15.6" x14ac:dyDescent="0.3">
      <c r="B96" s="156"/>
      <c r="C96" s="138"/>
      <c r="D96" s="138"/>
      <c r="E96" s="138"/>
      <c r="G96" s="122" t="s">
        <v>131</v>
      </c>
      <c r="H96" s="123">
        <f>SUM(H64:H95)</f>
        <v>30450117.610000003</v>
      </c>
    </row>
    <row r="98" spans="3:3" x14ac:dyDescent="0.3">
      <c r="C98" s="138"/>
    </row>
    <row r="169" spans="2:8" ht="15" x14ac:dyDescent="0.3">
      <c r="B169" s="188" t="s">
        <v>465</v>
      </c>
      <c r="C169" s="138"/>
      <c r="D169" s="138"/>
      <c r="E169" s="138"/>
      <c r="F169" s="138"/>
      <c r="G169" s="138"/>
      <c r="H169" s="139"/>
    </row>
    <row r="170" spans="2:8" ht="4.2" customHeight="1" thickBot="1" x14ac:dyDescent="0.35">
      <c r="B170" s="138"/>
      <c r="C170" s="138"/>
      <c r="D170" s="138"/>
      <c r="E170" s="138"/>
      <c r="F170" s="138"/>
      <c r="G170" s="138"/>
      <c r="H170" s="139"/>
    </row>
    <row r="171" spans="2:8" ht="15.6" thickBot="1" x14ac:dyDescent="0.35">
      <c r="B171" s="191" t="s">
        <v>177</v>
      </c>
      <c r="C171" s="191" t="s">
        <v>178</v>
      </c>
      <c r="D171" s="191" t="s">
        <v>179</v>
      </c>
      <c r="E171" s="191" t="s">
        <v>102</v>
      </c>
      <c r="F171" s="191" t="s">
        <v>321</v>
      </c>
      <c r="G171" s="192" t="s">
        <v>334</v>
      </c>
      <c r="H171" s="193" t="s">
        <v>180</v>
      </c>
    </row>
    <row r="172" spans="2:8" x14ac:dyDescent="0.3">
      <c r="B172" s="160">
        <v>2</v>
      </c>
      <c r="C172" s="189" t="s">
        <v>225</v>
      </c>
      <c r="D172" s="160"/>
      <c r="E172" s="190" t="s">
        <v>225</v>
      </c>
      <c r="F172" s="125"/>
      <c r="G172" s="125"/>
      <c r="H172" s="162">
        <v>3000000</v>
      </c>
    </row>
    <row r="173" spans="2:8" x14ac:dyDescent="0.3">
      <c r="B173" s="135">
        <v>2</v>
      </c>
      <c r="C173" s="158" t="s">
        <v>225</v>
      </c>
      <c r="D173" s="135"/>
      <c r="E173" s="159" t="s">
        <v>225</v>
      </c>
      <c r="F173" s="118"/>
      <c r="G173" s="170"/>
      <c r="H173" s="137">
        <v>1500000</v>
      </c>
    </row>
    <row r="174" spans="2:8" x14ac:dyDescent="0.3">
      <c r="B174" s="135">
        <v>2</v>
      </c>
      <c r="C174" s="158" t="s">
        <v>149</v>
      </c>
      <c r="D174" s="135"/>
      <c r="E174" s="136" t="s">
        <v>226</v>
      </c>
      <c r="F174" s="118"/>
      <c r="G174" s="170"/>
      <c r="H174" s="137">
        <v>2000000</v>
      </c>
    </row>
    <row r="175" spans="2:8" ht="43.2" x14ac:dyDescent="0.3">
      <c r="B175" s="135">
        <v>2</v>
      </c>
      <c r="C175" s="158" t="s">
        <v>227</v>
      </c>
      <c r="D175" s="135"/>
      <c r="E175" s="144" t="s">
        <v>228</v>
      </c>
      <c r="F175" s="118"/>
      <c r="G175" s="170"/>
      <c r="H175" s="137">
        <v>309062.51</v>
      </c>
    </row>
    <row r="176" spans="2:8" x14ac:dyDescent="0.3">
      <c r="B176" s="135">
        <v>2</v>
      </c>
      <c r="C176" s="158" t="s">
        <v>229</v>
      </c>
      <c r="D176" s="135"/>
      <c r="E176" s="136" t="s">
        <v>230</v>
      </c>
      <c r="F176" s="118"/>
      <c r="G176" s="170"/>
      <c r="H176" s="137">
        <v>493450</v>
      </c>
    </row>
    <row r="177" spans="2:8" x14ac:dyDescent="0.3">
      <c r="B177" s="135">
        <v>2</v>
      </c>
      <c r="C177" s="158" t="s">
        <v>229</v>
      </c>
      <c r="D177" s="135"/>
      <c r="E177" s="136" t="s">
        <v>231</v>
      </c>
      <c r="F177" s="118"/>
      <c r="G177" s="170"/>
      <c r="H177" s="137">
        <v>993850</v>
      </c>
    </row>
    <row r="178" spans="2:8" ht="28.8" x14ac:dyDescent="0.3">
      <c r="B178" s="135">
        <v>2</v>
      </c>
      <c r="C178" s="158" t="s">
        <v>232</v>
      </c>
      <c r="D178" s="135"/>
      <c r="E178" s="144" t="s">
        <v>233</v>
      </c>
      <c r="F178" s="118"/>
      <c r="G178" s="170" t="s">
        <v>344</v>
      </c>
      <c r="H178" s="137">
        <v>415000</v>
      </c>
    </row>
    <row r="179" spans="2:8" x14ac:dyDescent="0.3">
      <c r="B179" s="135">
        <v>2</v>
      </c>
      <c r="C179" s="158" t="s">
        <v>13</v>
      </c>
      <c r="D179" s="135"/>
      <c r="E179" s="136" t="s">
        <v>234</v>
      </c>
      <c r="F179" s="118"/>
      <c r="G179" s="170" t="s">
        <v>344</v>
      </c>
      <c r="H179" s="137">
        <v>276670.96999999997</v>
      </c>
    </row>
    <row r="180" spans="2:8" x14ac:dyDescent="0.3">
      <c r="B180" s="135">
        <v>2</v>
      </c>
      <c r="C180" s="158" t="s">
        <v>225</v>
      </c>
      <c r="D180" s="135"/>
      <c r="E180" s="136" t="s">
        <v>235</v>
      </c>
      <c r="F180" s="118"/>
      <c r="G180" s="170"/>
      <c r="H180" s="137">
        <v>3000000</v>
      </c>
    </row>
    <row r="181" spans="2:8" ht="29.4" thickBot="1" x14ac:dyDescent="0.35">
      <c r="B181" s="135">
        <v>2</v>
      </c>
      <c r="C181" s="158" t="s">
        <v>4</v>
      </c>
      <c r="D181" s="135"/>
      <c r="E181" s="144" t="s">
        <v>236</v>
      </c>
      <c r="F181" s="118"/>
      <c r="G181" s="194" t="s">
        <v>345</v>
      </c>
      <c r="H181" s="182">
        <v>3500000</v>
      </c>
    </row>
    <row r="182" spans="2:8" ht="16.2" thickBot="1" x14ac:dyDescent="0.35">
      <c r="B182" s="131"/>
      <c r="C182" s="131"/>
      <c r="D182" s="131"/>
      <c r="E182" s="131"/>
      <c r="G182" s="195" t="s">
        <v>131</v>
      </c>
      <c r="H182" s="196">
        <f>SUM(H172:H181)</f>
        <v>15488033.48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DB2B-AFEE-4D9E-95BA-606A57A4FED3}">
  <sheetPr>
    <pageSetUpPr fitToPage="1"/>
  </sheetPr>
  <dimension ref="B4:I120"/>
  <sheetViews>
    <sheetView showGridLines="0" topLeftCell="A19" workbookViewId="0">
      <selection activeCell="F7" sqref="F7"/>
    </sheetView>
  </sheetViews>
  <sheetFormatPr defaultRowHeight="14.4" x14ac:dyDescent="0.3"/>
  <cols>
    <col min="1" max="1" width="9.33203125" customWidth="1"/>
    <col min="2" max="2" width="6" style="71" hidden="1" customWidth="1"/>
    <col min="3" max="3" width="22.44140625" customWidth="1"/>
    <col min="4" max="4" width="20.21875" bestFit="1" customWidth="1"/>
    <col min="5" max="5" width="46.5546875" bestFit="1" customWidth="1"/>
    <col min="6" max="6" width="24.88671875" style="71" customWidth="1"/>
    <col min="7" max="7" width="33.21875" style="71" customWidth="1"/>
    <col min="8" max="8" width="19.109375" style="72" customWidth="1"/>
    <col min="9" max="9" width="4.44140625" customWidth="1"/>
    <col min="10" max="10" width="9.88671875" customWidth="1"/>
  </cols>
  <sheetData>
    <row r="4" spans="2:9" ht="15" x14ac:dyDescent="0.3">
      <c r="B4" s="141"/>
      <c r="C4" s="131"/>
      <c r="D4" s="131"/>
      <c r="E4" s="131"/>
      <c r="F4" s="131"/>
      <c r="G4" s="131"/>
      <c r="H4" s="131"/>
      <c r="I4" s="131"/>
    </row>
    <row r="5" spans="2:9" ht="1.8" customHeight="1" thickBot="1" x14ac:dyDescent="0.35">
      <c r="B5" s="131"/>
      <c r="C5" s="131"/>
      <c r="D5" s="131"/>
      <c r="E5" s="131"/>
      <c r="F5" s="131"/>
      <c r="G5" s="131"/>
      <c r="H5" s="131"/>
      <c r="I5" s="131"/>
    </row>
    <row r="6" spans="2:9" ht="15.6" thickBot="1" x14ac:dyDescent="0.35">
      <c r="B6" s="132" t="s">
        <v>177</v>
      </c>
      <c r="C6" s="133" t="s">
        <v>178</v>
      </c>
      <c r="D6" s="133" t="s">
        <v>179</v>
      </c>
      <c r="E6" s="133" t="s">
        <v>102</v>
      </c>
      <c r="F6" s="133" t="s">
        <v>103</v>
      </c>
      <c r="G6" s="129" t="s">
        <v>334</v>
      </c>
      <c r="H6" s="134" t="s">
        <v>180</v>
      </c>
    </row>
    <row r="7" spans="2:9" x14ac:dyDescent="0.3">
      <c r="B7" s="135">
        <v>1</v>
      </c>
      <c r="C7" s="136" t="s">
        <v>187</v>
      </c>
      <c r="D7" s="135" t="s">
        <v>181</v>
      </c>
      <c r="E7" s="136" t="s">
        <v>189</v>
      </c>
      <c r="F7" s="135" t="s">
        <v>188</v>
      </c>
      <c r="G7" s="173" t="s">
        <v>343</v>
      </c>
      <c r="H7" s="137">
        <v>561100</v>
      </c>
    </row>
    <row r="8" spans="2:9" x14ac:dyDescent="0.3">
      <c r="B8" s="135">
        <v>1</v>
      </c>
      <c r="C8" s="136" t="s">
        <v>194</v>
      </c>
      <c r="D8" s="135" t="s">
        <v>195</v>
      </c>
      <c r="E8" s="136" t="s">
        <v>197</v>
      </c>
      <c r="F8" s="135" t="s">
        <v>426</v>
      </c>
      <c r="G8" s="173" t="s">
        <v>343</v>
      </c>
      <c r="H8" s="137">
        <v>786000</v>
      </c>
    </row>
    <row r="9" spans="2:9" x14ac:dyDescent="0.3">
      <c r="B9" s="135">
        <v>1</v>
      </c>
      <c r="C9" s="136" t="s">
        <v>155</v>
      </c>
      <c r="D9" s="135" t="s">
        <v>191</v>
      </c>
      <c r="E9" s="136" t="s">
        <v>202</v>
      </c>
      <c r="F9" s="135" t="s">
        <v>427</v>
      </c>
      <c r="G9" s="173" t="s">
        <v>343</v>
      </c>
      <c r="H9" s="137">
        <v>934000</v>
      </c>
    </row>
    <row r="10" spans="2:9" x14ac:dyDescent="0.3">
      <c r="B10" s="135"/>
      <c r="C10" s="136" t="s">
        <v>36</v>
      </c>
      <c r="D10" s="135" t="s">
        <v>191</v>
      </c>
      <c r="E10" s="136" t="s">
        <v>210</v>
      </c>
      <c r="F10" s="135" t="s">
        <v>209</v>
      </c>
      <c r="G10" s="173" t="s">
        <v>343</v>
      </c>
      <c r="H10" s="137">
        <v>502200</v>
      </c>
    </row>
    <row r="11" spans="2:9" x14ac:dyDescent="0.3">
      <c r="B11" s="135"/>
      <c r="C11" s="136" t="s">
        <v>213</v>
      </c>
      <c r="D11" s="135" t="s">
        <v>181</v>
      </c>
      <c r="E11" s="136" t="s">
        <v>429</v>
      </c>
      <c r="F11" s="135" t="s">
        <v>214</v>
      </c>
      <c r="G11" s="173" t="s">
        <v>343</v>
      </c>
      <c r="H11" s="137">
        <v>498000</v>
      </c>
    </row>
    <row r="12" spans="2:9" x14ac:dyDescent="0.3">
      <c r="B12" s="135"/>
      <c r="C12" s="221" t="s">
        <v>232</v>
      </c>
      <c r="D12" s="163" t="s">
        <v>434</v>
      </c>
      <c r="E12" s="221" t="s">
        <v>435</v>
      </c>
      <c r="F12" s="163" t="s">
        <v>436</v>
      </c>
      <c r="G12" s="173" t="s">
        <v>343</v>
      </c>
      <c r="H12" s="222">
        <v>450000</v>
      </c>
    </row>
    <row r="13" spans="2:9" x14ac:dyDescent="0.3">
      <c r="B13" s="135"/>
      <c r="C13" s="221" t="s">
        <v>431</v>
      </c>
      <c r="D13" s="163" t="s">
        <v>181</v>
      </c>
      <c r="E13" s="221" t="s">
        <v>218</v>
      </c>
      <c r="F13" s="163" t="s">
        <v>217</v>
      </c>
      <c r="G13" s="173" t="s">
        <v>343</v>
      </c>
      <c r="H13" s="137">
        <v>2317720</v>
      </c>
    </row>
    <row r="14" spans="2:9" x14ac:dyDescent="0.3">
      <c r="B14" s="135"/>
      <c r="C14" s="119" t="s">
        <v>437</v>
      </c>
      <c r="D14" s="118" t="s">
        <v>280</v>
      </c>
      <c r="E14" s="119" t="s">
        <v>354</v>
      </c>
      <c r="F14" s="118" t="s">
        <v>451</v>
      </c>
      <c r="G14" s="215" t="s">
        <v>432</v>
      </c>
      <c r="H14" s="120">
        <v>398100</v>
      </c>
    </row>
    <row r="15" spans="2:9" x14ac:dyDescent="0.3">
      <c r="B15" s="135"/>
      <c r="C15" s="136" t="s">
        <v>219</v>
      </c>
      <c r="D15" s="135" t="s">
        <v>191</v>
      </c>
      <c r="E15" s="136" t="s">
        <v>193</v>
      </c>
      <c r="F15" s="135" t="s">
        <v>220</v>
      </c>
      <c r="G15" s="215" t="s">
        <v>432</v>
      </c>
      <c r="H15" s="137">
        <v>497199.96</v>
      </c>
    </row>
    <row r="16" spans="2:9" x14ac:dyDescent="0.3">
      <c r="B16" s="135"/>
      <c r="C16" s="136" t="s">
        <v>221</v>
      </c>
      <c r="D16" s="135" t="s">
        <v>181</v>
      </c>
      <c r="E16" s="136" t="s">
        <v>223</v>
      </c>
      <c r="F16" s="135" t="s">
        <v>222</v>
      </c>
      <c r="G16" s="215" t="s">
        <v>432</v>
      </c>
      <c r="H16" s="137">
        <v>1187953.73</v>
      </c>
    </row>
    <row r="17" spans="2:8" x14ac:dyDescent="0.3">
      <c r="B17" s="135">
        <v>1</v>
      </c>
      <c r="C17" s="119" t="s">
        <v>6</v>
      </c>
      <c r="D17" s="118" t="s">
        <v>439</v>
      </c>
      <c r="E17" s="119" t="s">
        <v>193</v>
      </c>
      <c r="F17" s="118" t="s">
        <v>452</v>
      </c>
      <c r="G17" s="226" t="s">
        <v>455</v>
      </c>
      <c r="H17" s="120">
        <v>496705.87</v>
      </c>
    </row>
    <row r="18" spans="2:8" x14ac:dyDescent="0.3">
      <c r="B18" s="135">
        <v>1</v>
      </c>
      <c r="C18" s="119" t="s">
        <v>273</v>
      </c>
      <c r="D18" s="118" t="s">
        <v>438</v>
      </c>
      <c r="E18" s="119" t="s">
        <v>276</v>
      </c>
      <c r="F18" s="118" t="s">
        <v>449</v>
      </c>
      <c r="G18" s="226" t="s">
        <v>455</v>
      </c>
      <c r="H18" s="120">
        <v>800000</v>
      </c>
    </row>
    <row r="19" spans="2:8" x14ac:dyDescent="0.3">
      <c r="B19" s="163">
        <v>1</v>
      </c>
      <c r="C19" s="119" t="s">
        <v>252</v>
      </c>
      <c r="D19" s="118" t="s">
        <v>181</v>
      </c>
      <c r="E19" s="119" t="s">
        <v>254</v>
      </c>
      <c r="F19" s="118" t="s">
        <v>253</v>
      </c>
      <c r="G19" s="226" t="s">
        <v>455</v>
      </c>
      <c r="H19" s="120">
        <v>933365</v>
      </c>
    </row>
    <row r="20" spans="2:8" x14ac:dyDescent="0.3">
      <c r="B20" s="163">
        <v>1</v>
      </c>
      <c r="C20" s="119" t="s">
        <v>194</v>
      </c>
      <c r="D20" s="118" t="s">
        <v>181</v>
      </c>
      <c r="E20" s="119" t="s">
        <v>310</v>
      </c>
      <c r="F20" s="118" t="s">
        <v>256</v>
      </c>
      <c r="G20" s="226" t="s">
        <v>455</v>
      </c>
      <c r="H20" s="120">
        <v>878808.24</v>
      </c>
    </row>
    <row r="21" spans="2:8" x14ac:dyDescent="0.3">
      <c r="B21" s="135">
        <v>1</v>
      </c>
      <c r="C21" s="119" t="s">
        <v>309</v>
      </c>
      <c r="D21" s="118" t="s">
        <v>440</v>
      </c>
      <c r="E21" s="119" t="s">
        <v>440</v>
      </c>
      <c r="F21" s="118" t="s">
        <v>330</v>
      </c>
      <c r="G21" s="226" t="s">
        <v>455</v>
      </c>
      <c r="H21" s="120">
        <v>1618242.16</v>
      </c>
    </row>
    <row r="22" spans="2:8" x14ac:dyDescent="0.3">
      <c r="B22" s="135">
        <v>1</v>
      </c>
      <c r="C22" s="119" t="s">
        <v>260</v>
      </c>
      <c r="D22" s="118" t="s">
        <v>181</v>
      </c>
      <c r="E22" s="119" t="s">
        <v>262</v>
      </c>
      <c r="F22" s="118" t="s">
        <v>261</v>
      </c>
      <c r="G22" s="226" t="s">
        <v>455</v>
      </c>
      <c r="H22" s="120">
        <v>552987</v>
      </c>
    </row>
    <row r="23" spans="2:8" x14ac:dyDescent="0.3">
      <c r="B23" s="135">
        <v>1</v>
      </c>
      <c r="C23" s="224" t="s">
        <v>457</v>
      </c>
      <c r="D23" s="223" t="s">
        <v>439</v>
      </c>
      <c r="E23" s="224" t="s">
        <v>458</v>
      </c>
      <c r="F23" s="223" t="s">
        <v>459</v>
      </c>
      <c r="G23" s="227" t="s">
        <v>455</v>
      </c>
      <c r="H23" s="225">
        <v>800000</v>
      </c>
    </row>
    <row r="24" spans="2:8" x14ac:dyDescent="0.3">
      <c r="B24" s="135">
        <v>1</v>
      </c>
      <c r="C24" s="119" t="s">
        <v>290</v>
      </c>
      <c r="D24" s="118" t="s">
        <v>181</v>
      </c>
      <c r="E24" s="119" t="s">
        <v>292</v>
      </c>
      <c r="F24" s="118" t="s">
        <v>291</v>
      </c>
      <c r="G24" s="226" t="s">
        <v>455</v>
      </c>
      <c r="H24" s="120">
        <v>4543923.28</v>
      </c>
    </row>
    <row r="25" spans="2:8" x14ac:dyDescent="0.3">
      <c r="B25" s="135">
        <v>1</v>
      </c>
      <c r="C25" s="119" t="s">
        <v>23</v>
      </c>
      <c r="D25" s="118" t="s">
        <v>288</v>
      </c>
      <c r="E25" s="119" t="s">
        <v>442</v>
      </c>
      <c r="F25" s="118" t="s">
        <v>332</v>
      </c>
      <c r="G25" s="226" t="s">
        <v>455</v>
      </c>
      <c r="H25" s="120">
        <v>3328027.12</v>
      </c>
    </row>
    <row r="26" spans="2:8" x14ac:dyDescent="0.3">
      <c r="B26" s="135">
        <v>1</v>
      </c>
      <c r="C26" s="119" t="s">
        <v>263</v>
      </c>
      <c r="D26" s="125" t="s">
        <v>439</v>
      </c>
      <c r="E26" s="119" t="s">
        <v>193</v>
      </c>
      <c r="F26" s="118" t="s">
        <v>453</v>
      </c>
      <c r="G26" s="226" t="s">
        <v>455</v>
      </c>
      <c r="H26" s="120">
        <v>496705.87</v>
      </c>
    </row>
    <row r="27" spans="2:8" x14ac:dyDescent="0.3">
      <c r="B27" s="135">
        <v>1</v>
      </c>
      <c r="C27" s="119" t="s">
        <v>264</v>
      </c>
      <c r="D27" s="118" t="s">
        <v>181</v>
      </c>
      <c r="E27" s="119" t="s">
        <v>266</v>
      </c>
      <c r="F27" s="118" t="s">
        <v>265</v>
      </c>
      <c r="G27" s="226" t="s">
        <v>455</v>
      </c>
      <c r="H27" s="120">
        <v>945208.63</v>
      </c>
    </row>
    <row r="28" spans="2:8" x14ac:dyDescent="0.3">
      <c r="B28" s="135">
        <v>1</v>
      </c>
      <c r="C28" s="119" t="s">
        <v>267</v>
      </c>
      <c r="D28" s="118" t="s">
        <v>181</v>
      </c>
      <c r="E28" s="119" t="s">
        <v>269</v>
      </c>
      <c r="F28" s="118" t="s">
        <v>268</v>
      </c>
      <c r="G28" s="226" t="s">
        <v>455</v>
      </c>
      <c r="H28" s="120">
        <v>603731.81999999995</v>
      </c>
    </row>
    <row r="29" spans="2:8" x14ac:dyDescent="0.3">
      <c r="B29" s="135">
        <v>1</v>
      </c>
      <c r="C29" s="119" t="s">
        <v>79</v>
      </c>
      <c r="D29" s="118" t="s">
        <v>181</v>
      </c>
      <c r="E29" s="119" t="s">
        <v>446</v>
      </c>
      <c r="F29" s="118" t="s">
        <v>333</v>
      </c>
      <c r="G29" s="226" t="s">
        <v>455</v>
      </c>
      <c r="H29" s="120">
        <v>726450</v>
      </c>
    </row>
    <row r="30" spans="2:8" x14ac:dyDescent="0.3">
      <c r="B30" s="118">
        <v>2</v>
      </c>
      <c r="C30" s="119" t="s">
        <v>270</v>
      </c>
      <c r="D30" s="118" t="s">
        <v>181</v>
      </c>
      <c r="E30" s="119" t="s">
        <v>447</v>
      </c>
      <c r="F30" s="118" t="s">
        <v>271</v>
      </c>
      <c r="G30" s="226" t="s">
        <v>455</v>
      </c>
      <c r="H30" s="120">
        <v>752115</v>
      </c>
    </row>
    <row r="31" spans="2:8" x14ac:dyDescent="0.3">
      <c r="B31" s="118">
        <v>2</v>
      </c>
      <c r="C31" s="136" t="s">
        <v>8</v>
      </c>
      <c r="D31" s="135" t="s">
        <v>181</v>
      </c>
      <c r="E31" s="136" t="s">
        <v>183</v>
      </c>
      <c r="F31" s="135" t="s">
        <v>182</v>
      </c>
      <c r="G31" s="230" t="s">
        <v>349</v>
      </c>
      <c r="H31" s="137">
        <v>1243971.5</v>
      </c>
    </row>
    <row r="32" spans="2:8" x14ac:dyDescent="0.3">
      <c r="B32" s="118">
        <v>2</v>
      </c>
      <c r="C32" s="136" t="s">
        <v>184</v>
      </c>
      <c r="D32" s="135" t="s">
        <v>181</v>
      </c>
      <c r="E32" s="136" t="s">
        <v>186</v>
      </c>
      <c r="F32" s="135" t="s">
        <v>424</v>
      </c>
      <c r="G32" s="230" t="s">
        <v>349</v>
      </c>
      <c r="H32" s="137">
        <v>1042447.89</v>
      </c>
    </row>
    <row r="33" spans="2:8" x14ac:dyDescent="0.3">
      <c r="B33" s="118">
        <v>2</v>
      </c>
      <c r="C33" s="136" t="s">
        <v>190</v>
      </c>
      <c r="D33" s="135" t="s">
        <v>191</v>
      </c>
      <c r="E33" s="136" t="s">
        <v>193</v>
      </c>
      <c r="F33" s="135" t="s">
        <v>425</v>
      </c>
      <c r="G33" s="230" t="s">
        <v>349</v>
      </c>
      <c r="H33" s="137">
        <v>490400</v>
      </c>
    </row>
    <row r="34" spans="2:8" x14ac:dyDescent="0.3">
      <c r="B34" s="118">
        <v>2</v>
      </c>
      <c r="C34" s="136" t="s">
        <v>35</v>
      </c>
      <c r="D34" s="135" t="s">
        <v>181</v>
      </c>
      <c r="E34" s="136" t="s">
        <v>199</v>
      </c>
      <c r="F34" s="135" t="s">
        <v>198</v>
      </c>
      <c r="G34" s="230" t="s">
        <v>349</v>
      </c>
      <c r="H34" s="137">
        <v>444316.1</v>
      </c>
    </row>
    <row r="35" spans="2:8" x14ac:dyDescent="0.3">
      <c r="B35" s="118">
        <v>2</v>
      </c>
      <c r="C35" s="136" t="s">
        <v>203</v>
      </c>
      <c r="D35" s="135" t="s">
        <v>181</v>
      </c>
      <c r="E35" s="136" t="s">
        <v>205</v>
      </c>
      <c r="F35" s="135" t="s">
        <v>204</v>
      </c>
      <c r="G35" s="230" t="s">
        <v>349</v>
      </c>
      <c r="H35" s="137">
        <v>650000.72</v>
      </c>
    </row>
    <row r="36" spans="2:8" x14ac:dyDescent="0.3">
      <c r="B36" s="118">
        <v>2</v>
      </c>
      <c r="C36" s="136" t="s">
        <v>206</v>
      </c>
      <c r="D36" s="163" t="s">
        <v>181</v>
      </c>
      <c r="E36" s="136" t="s">
        <v>430</v>
      </c>
      <c r="F36" s="135" t="s">
        <v>207</v>
      </c>
      <c r="G36" s="230" t="s">
        <v>349</v>
      </c>
      <c r="H36" s="137">
        <v>327811.46999999997</v>
      </c>
    </row>
    <row r="37" spans="2:8" x14ac:dyDescent="0.3">
      <c r="B37" s="223">
        <v>2</v>
      </c>
      <c r="C37" s="136" t="s">
        <v>211</v>
      </c>
      <c r="D37" s="135" t="s">
        <v>181</v>
      </c>
      <c r="E37" s="136" t="s">
        <v>212</v>
      </c>
      <c r="F37" s="135" t="s">
        <v>428</v>
      </c>
      <c r="G37" s="230" t="s">
        <v>349</v>
      </c>
      <c r="H37" s="137">
        <v>750848.62</v>
      </c>
    </row>
    <row r="38" spans="2:8" x14ac:dyDescent="0.3">
      <c r="B38" s="223">
        <v>2</v>
      </c>
      <c r="C38" s="224" t="s">
        <v>6</v>
      </c>
      <c r="D38" s="223" t="s">
        <v>181</v>
      </c>
      <c r="E38" s="224" t="s">
        <v>443</v>
      </c>
      <c r="F38" s="223" t="s">
        <v>277</v>
      </c>
      <c r="G38" s="228" t="s">
        <v>351</v>
      </c>
      <c r="H38" s="225">
        <v>1500000</v>
      </c>
    </row>
    <row r="39" spans="2:8" x14ac:dyDescent="0.3">
      <c r="B39" s="223">
        <v>2</v>
      </c>
      <c r="C39" s="224" t="s">
        <v>11</v>
      </c>
      <c r="D39" s="223" t="s">
        <v>288</v>
      </c>
      <c r="E39" s="224" t="s">
        <v>289</v>
      </c>
      <c r="F39" s="223" t="s">
        <v>277</v>
      </c>
      <c r="G39" s="228" t="s">
        <v>351</v>
      </c>
      <c r="H39" s="225">
        <v>2000000</v>
      </c>
    </row>
    <row r="40" spans="2:8" x14ac:dyDescent="0.3">
      <c r="B40" s="223">
        <v>2</v>
      </c>
      <c r="C40" s="224" t="s">
        <v>325</v>
      </c>
      <c r="D40" s="223" t="s">
        <v>438</v>
      </c>
      <c r="E40" s="224" t="s">
        <v>448</v>
      </c>
      <c r="F40" s="223" t="s">
        <v>277</v>
      </c>
      <c r="G40" s="228" t="s">
        <v>351</v>
      </c>
      <c r="H40" s="225">
        <v>150000</v>
      </c>
    </row>
    <row r="41" spans="2:8" x14ac:dyDescent="0.3">
      <c r="B41" s="223">
        <v>2</v>
      </c>
      <c r="C41" s="119" t="s">
        <v>456</v>
      </c>
      <c r="D41" s="118" t="s">
        <v>438</v>
      </c>
      <c r="E41" s="119" t="s">
        <v>444</v>
      </c>
      <c r="F41" s="118" t="s">
        <v>277</v>
      </c>
      <c r="G41" s="229" t="s">
        <v>351</v>
      </c>
      <c r="H41" s="120">
        <v>3700000</v>
      </c>
    </row>
    <row r="42" spans="2:8" x14ac:dyDescent="0.3">
      <c r="B42" s="118">
        <v>2</v>
      </c>
      <c r="C42" s="119" t="s">
        <v>258</v>
      </c>
      <c r="D42" s="118" t="s">
        <v>181</v>
      </c>
      <c r="E42" s="119" t="s">
        <v>310</v>
      </c>
      <c r="F42" s="118" t="s">
        <v>259</v>
      </c>
      <c r="G42" s="229" t="s">
        <v>351</v>
      </c>
      <c r="H42" s="120">
        <v>829718.98</v>
      </c>
    </row>
    <row r="43" spans="2:8" x14ac:dyDescent="0.3">
      <c r="B43" s="118">
        <v>2</v>
      </c>
      <c r="C43" s="119" t="s">
        <v>279</v>
      </c>
      <c r="D43" s="118" t="s">
        <v>280</v>
      </c>
      <c r="E43" s="119" t="s">
        <v>281</v>
      </c>
      <c r="F43" s="118" t="s">
        <v>450</v>
      </c>
      <c r="G43" s="229" t="s">
        <v>351</v>
      </c>
      <c r="H43" s="120">
        <v>500000</v>
      </c>
    </row>
    <row r="44" spans="2:8" x14ac:dyDescent="0.3">
      <c r="B44" s="118">
        <v>2</v>
      </c>
      <c r="C44" s="224" t="s">
        <v>282</v>
      </c>
      <c r="D44" s="223" t="s">
        <v>283</v>
      </c>
      <c r="E44" s="224" t="s">
        <v>285</v>
      </c>
      <c r="F44" s="223" t="s">
        <v>277</v>
      </c>
      <c r="G44" s="228" t="s">
        <v>351</v>
      </c>
      <c r="H44" s="225">
        <v>244180</v>
      </c>
    </row>
    <row r="45" spans="2:8" ht="18" customHeight="1" x14ac:dyDescent="0.3">
      <c r="G45" s="122" t="s">
        <v>131</v>
      </c>
      <c r="H45" s="123">
        <f>SUM(H7:H44)</f>
        <v>39482238.960000001</v>
      </c>
    </row>
    <row r="55" spans="2:9" ht="15.6" x14ac:dyDescent="0.3">
      <c r="B55" s="157" t="s">
        <v>323</v>
      </c>
      <c r="C55" s="138"/>
      <c r="D55" s="138"/>
      <c r="E55" s="138"/>
      <c r="F55" s="156"/>
      <c r="G55" s="156"/>
      <c r="H55" s="139"/>
      <c r="I55" s="140"/>
    </row>
    <row r="56" spans="2:9" ht="3" customHeight="1" thickBot="1" x14ac:dyDescent="0.35">
      <c r="B56" s="156"/>
      <c r="C56" s="138"/>
      <c r="D56" s="138"/>
      <c r="E56" s="138"/>
      <c r="F56" s="156"/>
      <c r="G56" s="156"/>
      <c r="H56" s="139"/>
      <c r="I56" s="140"/>
    </row>
    <row r="57" spans="2:9" ht="15.6" thickBot="1" x14ac:dyDescent="0.35">
      <c r="B57" s="132" t="s">
        <v>177</v>
      </c>
      <c r="C57" s="133" t="s">
        <v>178</v>
      </c>
      <c r="D57" s="133" t="s">
        <v>179</v>
      </c>
      <c r="E57" s="133" t="s">
        <v>102</v>
      </c>
      <c r="F57" s="133" t="s">
        <v>103</v>
      </c>
      <c r="G57" s="166" t="s">
        <v>334</v>
      </c>
      <c r="H57" s="134" t="s">
        <v>180</v>
      </c>
    </row>
    <row r="58" spans="2:9" x14ac:dyDescent="0.3">
      <c r="B58" s="153">
        <v>3</v>
      </c>
      <c r="C58" s="135" t="s">
        <v>293</v>
      </c>
      <c r="D58" s="135" t="s">
        <v>294</v>
      </c>
      <c r="E58" s="135" t="s">
        <v>193</v>
      </c>
      <c r="F58" s="153" t="s">
        <v>277</v>
      </c>
      <c r="G58" s="169" t="s">
        <v>350</v>
      </c>
      <c r="H58" s="137">
        <v>496705.87</v>
      </c>
    </row>
    <row r="59" spans="2:9" x14ac:dyDescent="0.3">
      <c r="B59" s="153">
        <v>3</v>
      </c>
      <c r="C59" s="135" t="s">
        <v>295</v>
      </c>
      <c r="D59" s="135" t="s">
        <v>181</v>
      </c>
      <c r="E59" s="135" t="s">
        <v>296</v>
      </c>
      <c r="F59" s="153" t="s">
        <v>277</v>
      </c>
      <c r="G59" s="169" t="s">
        <v>350</v>
      </c>
      <c r="H59" s="137">
        <v>700000</v>
      </c>
    </row>
    <row r="60" spans="2:9" x14ac:dyDescent="0.3">
      <c r="B60" s="153">
        <v>3</v>
      </c>
      <c r="C60" s="135" t="s">
        <v>11</v>
      </c>
      <c r="D60" s="135" t="s">
        <v>181</v>
      </c>
      <c r="E60" s="135" t="s">
        <v>464</v>
      </c>
      <c r="F60" s="153" t="s">
        <v>277</v>
      </c>
      <c r="G60" s="169" t="s">
        <v>350</v>
      </c>
      <c r="H60" s="137">
        <v>1000000</v>
      </c>
    </row>
    <row r="61" spans="2:9" x14ac:dyDescent="0.3">
      <c r="B61" s="153">
        <v>3</v>
      </c>
      <c r="C61" s="135" t="s">
        <v>297</v>
      </c>
      <c r="D61" s="135" t="s">
        <v>181</v>
      </c>
      <c r="E61" s="135" t="s">
        <v>298</v>
      </c>
      <c r="F61" s="153" t="s">
        <v>277</v>
      </c>
      <c r="G61" s="169" t="s">
        <v>350</v>
      </c>
      <c r="H61" s="137">
        <v>0</v>
      </c>
    </row>
    <row r="62" spans="2:9" x14ac:dyDescent="0.3">
      <c r="B62" s="153">
        <v>3</v>
      </c>
      <c r="C62" s="135" t="s">
        <v>299</v>
      </c>
      <c r="D62" s="135" t="s">
        <v>294</v>
      </c>
      <c r="E62" s="135" t="s">
        <v>460</v>
      </c>
      <c r="F62" s="153" t="s">
        <v>277</v>
      </c>
      <c r="G62" s="169" t="s">
        <v>350</v>
      </c>
      <c r="H62" s="137">
        <v>500000</v>
      </c>
    </row>
    <row r="63" spans="2:9" x14ac:dyDescent="0.3">
      <c r="B63" s="153">
        <v>3</v>
      </c>
      <c r="C63" s="135" t="s">
        <v>13</v>
      </c>
      <c r="D63" s="135" t="s">
        <v>181</v>
      </c>
      <c r="E63" s="135" t="s">
        <v>296</v>
      </c>
      <c r="F63" s="153" t="s">
        <v>277</v>
      </c>
      <c r="G63" s="169" t="s">
        <v>350</v>
      </c>
      <c r="H63" s="137">
        <v>750000</v>
      </c>
    </row>
    <row r="64" spans="2:9" x14ac:dyDescent="0.3">
      <c r="B64" s="153">
        <v>3</v>
      </c>
      <c r="C64" s="135" t="s">
        <v>13</v>
      </c>
      <c r="D64" s="135" t="s">
        <v>280</v>
      </c>
      <c r="E64" s="135" t="s">
        <v>354</v>
      </c>
      <c r="F64" s="153" t="s">
        <v>277</v>
      </c>
      <c r="G64" s="169" t="s">
        <v>350</v>
      </c>
      <c r="H64" s="137">
        <v>750000</v>
      </c>
    </row>
    <row r="65" spans="2:8" x14ac:dyDescent="0.3">
      <c r="B65" s="153">
        <v>3</v>
      </c>
      <c r="C65" s="135" t="s">
        <v>13</v>
      </c>
      <c r="D65" s="135" t="s">
        <v>280</v>
      </c>
      <c r="E65" s="135" t="s">
        <v>353</v>
      </c>
      <c r="F65" s="153" t="s">
        <v>277</v>
      </c>
      <c r="G65" s="169" t="s">
        <v>350</v>
      </c>
      <c r="H65" s="137">
        <v>1500000</v>
      </c>
    </row>
    <row r="66" spans="2:8" x14ac:dyDescent="0.3">
      <c r="B66" s="153">
        <v>3</v>
      </c>
      <c r="C66" s="135" t="s">
        <v>302</v>
      </c>
      <c r="D66" s="135" t="s">
        <v>181</v>
      </c>
      <c r="E66" s="135" t="s">
        <v>303</v>
      </c>
      <c r="F66" s="153" t="s">
        <v>277</v>
      </c>
      <c r="G66" s="169" t="s">
        <v>350</v>
      </c>
      <c r="H66" s="137">
        <v>560000</v>
      </c>
    </row>
    <row r="67" spans="2:8" x14ac:dyDescent="0.3">
      <c r="B67" s="153">
        <v>3</v>
      </c>
      <c r="C67" s="135" t="s">
        <v>304</v>
      </c>
      <c r="D67" s="135" t="s">
        <v>181</v>
      </c>
      <c r="E67" s="135" t="s">
        <v>305</v>
      </c>
      <c r="F67" s="153" t="s">
        <v>277</v>
      </c>
      <c r="G67" s="169" t="s">
        <v>350</v>
      </c>
      <c r="H67" s="137">
        <v>500000</v>
      </c>
    </row>
    <row r="68" spans="2:8" x14ac:dyDescent="0.3">
      <c r="B68" s="153">
        <v>3</v>
      </c>
      <c r="C68" s="135" t="s">
        <v>306</v>
      </c>
      <c r="D68" s="135" t="s">
        <v>181</v>
      </c>
      <c r="E68" s="135" t="s">
        <v>296</v>
      </c>
      <c r="F68" s="153" t="s">
        <v>277</v>
      </c>
      <c r="G68" s="169" t="s">
        <v>350</v>
      </c>
      <c r="H68" s="137">
        <v>700000</v>
      </c>
    </row>
    <row r="69" spans="2:8" x14ac:dyDescent="0.3">
      <c r="B69" s="153">
        <v>3</v>
      </c>
      <c r="C69" s="135" t="s">
        <v>306</v>
      </c>
      <c r="D69" s="135" t="s">
        <v>294</v>
      </c>
      <c r="E69" s="135" t="s">
        <v>193</v>
      </c>
      <c r="F69" s="153" t="s">
        <v>277</v>
      </c>
      <c r="G69" s="169" t="s">
        <v>350</v>
      </c>
      <c r="H69" s="137">
        <v>496705.87</v>
      </c>
    </row>
    <row r="70" spans="2:8" x14ac:dyDescent="0.3">
      <c r="B70" s="153">
        <v>3</v>
      </c>
      <c r="C70" s="135" t="s">
        <v>307</v>
      </c>
      <c r="D70" s="135" t="s">
        <v>181</v>
      </c>
      <c r="E70" s="135" t="s">
        <v>308</v>
      </c>
      <c r="F70" s="153" t="s">
        <v>277</v>
      </c>
      <c r="G70" s="169" t="s">
        <v>350</v>
      </c>
      <c r="H70" s="137">
        <v>980000</v>
      </c>
    </row>
    <row r="71" spans="2:8" x14ac:dyDescent="0.3">
      <c r="B71" s="153">
        <v>3</v>
      </c>
      <c r="C71" s="135" t="s">
        <v>355</v>
      </c>
      <c r="D71" s="135" t="s">
        <v>181</v>
      </c>
      <c r="E71" s="135" t="s">
        <v>296</v>
      </c>
      <c r="F71" s="153" t="s">
        <v>277</v>
      </c>
      <c r="G71" s="169" t="s">
        <v>350</v>
      </c>
      <c r="H71" s="137">
        <v>750000</v>
      </c>
    </row>
    <row r="72" spans="2:8" x14ac:dyDescent="0.3">
      <c r="B72" s="153">
        <v>3</v>
      </c>
      <c r="C72" s="135" t="s">
        <v>309</v>
      </c>
      <c r="D72" s="135" t="s">
        <v>181</v>
      </c>
      <c r="E72" s="135" t="s">
        <v>310</v>
      </c>
      <c r="F72" s="153" t="s">
        <v>277</v>
      </c>
      <c r="G72" s="169" t="s">
        <v>350</v>
      </c>
      <c r="H72" s="137">
        <v>800000</v>
      </c>
    </row>
    <row r="73" spans="2:8" x14ac:dyDescent="0.3">
      <c r="B73" s="153">
        <v>3</v>
      </c>
      <c r="C73" s="135" t="s">
        <v>258</v>
      </c>
      <c r="D73" s="163" t="s">
        <v>181</v>
      </c>
      <c r="E73" s="135" t="s">
        <v>278</v>
      </c>
      <c r="F73" s="153" t="s">
        <v>277</v>
      </c>
      <c r="G73" s="169" t="s">
        <v>350</v>
      </c>
      <c r="H73" s="137">
        <v>522000</v>
      </c>
    </row>
    <row r="74" spans="2:8" x14ac:dyDescent="0.3">
      <c r="B74" s="153">
        <v>3</v>
      </c>
      <c r="C74" s="135" t="s">
        <v>95</v>
      </c>
      <c r="D74" s="135" t="s">
        <v>181</v>
      </c>
      <c r="E74" s="135" t="s">
        <v>311</v>
      </c>
      <c r="F74" s="153" t="s">
        <v>277</v>
      </c>
      <c r="G74" s="169" t="s">
        <v>350</v>
      </c>
      <c r="H74" s="137">
        <v>4350000</v>
      </c>
    </row>
    <row r="75" spans="2:8" x14ac:dyDescent="0.3">
      <c r="B75" s="153">
        <v>3</v>
      </c>
      <c r="C75" s="135" t="s">
        <v>95</v>
      </c>
      <c r="D75" s="135" t="s">
        <v>294</v>
      </c>
      <c r="E75" s="135" t="s">
        <v>462</v>
      </c>
      <c r="F75" s="153" t="s">
        <v>277</v>
      </c>
      <c r="G75" s="169" t="s">
        <v>350</v>
      </c>
      <c r="H75" s="137">
        <v>500000</v>
      </c>
    </row>
    <row r="76" spans="2:8" x14ac:dyDescent="0.3">
      <c r="B76" s="153">
        <v>3</v>
      </c>
      <c r="C76" s="135" t="s">
        <v>95</v>
      </c>
      <c r="D76" s="135" t="s">
        <v>294</v>
      </c>
      <c r="E76" s="135" t="s">
        <v>463</v>
      </c>
      <c r="F76" s="153" t="s">
        <v>277</v>
      </c>
      <c r="G76" s="169" t="s">
        <v>350</v>
      </c>
      <c r="H76" s="137">
        <v>700000</v>
      </c>
    </row>
    <row r="77" spans="2:8" x14ac:dyDescent="0.3">
      <c r="B77" s="153">
        <v>3</v>
      </c>
      <c r="C77" s="135" t="s">
        <v>312</v>
      </c>
      <c r="D77" s="135" t="s">
        <v>181</v>
      </c>
      <c r="E77" s="135" t="s">
        <v>199</v>
      </c>
      <c r="F77" s="153" t="s">
        <v>277</v>
      </c>
      <c r="G77" s="169" t="s">
        <v>350</v>
      </c>
      <c r="H77" s="137">
        <v>420000</v>
      </c>
    </row>
    <row r="78" spans="2:8" x14ac:dyDescent="0.3">
      <c r="B78" s="153">
        <v>3</v>
      </c>
      <c r="C78" s="135" t="s">
        <v>313</v>
      </c>
      <c r="D78" s="135" t="s">
        <v>181</v>
      </c>
      <c r="E78" s="135" t="s">
        <v>310</v>
      </c>
      <c r="F78" s="153" t="s">
        <v>277</v>
      </c>
      <c r="G78" s="169" t="s">
        <v>350</v>
      </c>
      <c r="H78" s="137">
        <v>870000</v>
      </c>
    </row>
    <row r="79" spans="2:8" x14ac:dyDescent="0.3">
      <c r="B79" s="153">
        <v>3</v>
      </c>
      <c r="C79" s="135" t="s">
        <v>317</v>
      </c>
      <c r="D79" s="135" t="s">
        <v>181</v>
      </c>
      <c r="E79" s="135" t="s">
        <v>318</v>
      </c>
      <c r="F79" s="153" t="s">
        <v>277</v>
      </c>
      <c r="G79" s="169" t="s">
        <v>350</v>
      </c>
      <c r="H79" s="137">
        <v>448000</v>
      </c>
    </row>
    <row r="80" spans="2:8" x14ac:dyDescent="0.3">
      <c r="B80" s="153">
        <v>3</v>
      </c>
      <c r="C80" s="135" t="s">
        <v>282</v>
      </c>
      <c r="D80" s="135" t="s">
        <v>294</v>
      </c>
      <c r="E80" s="135" t="s">
        <v>193</v>
      </c>
      <c r="F80" s="153" t="s">
        <v>277</v>
      </c>
      <c r="G80" s="169" t="s">
        <v>350</v>
      </c>
      <c r="H80" s="137">
        <v>496705.87</v>
      </c>
    </row>
    <row r="81" spans="2:8" x14ac:dyDescent="0.3">
      <c r="B81" s="153">
        <v>3</v>
      </c>
      <c r="C81" s="135" t="s">
        <v>319</v>
      </c>
      <c r="D81" s="135" t="s">
        <v>181</v>
      </c>
      <c r="E81" s="135" t="s">
        <v>285</v>
      </c>
      <c r="F81" s="153" t="s">
        <v>277</v>
      </c>
      <c r="G81" s="169" t="s">
        <v>350</v>
      </c>
      <c r="H81" s="137">
        <v>260000</v>
      </c>
    </row>
    <row r="82" spans="2:8" x14ac:dyDescent="0.3">
      <c r="B82" s="153">
        <v>3</v>
      </c>
      <c r="C82" s="135" t="s">
        <v>320</v>
      </c>
      <c r="D82" s="135" t="s">
        <v>181</v>
      </c>
      <c r="E82" s="135" t="s">
        <v>346</v>
      </c>
      <c r="F82" s="153" t="s">
        <v>277</v>
      </c>
      <c r="G82" s="169" t="s">
        <v>350</v>
      </c>
      <c r="H82" s="137">
        <v>1400000</v>
      </c>
    </row>
    <row r="83" spans="2:8" x14ac:dyDescent="0.3">
      <c r="B83" s="153">
        <v>3</v>
      </c>
      <c r="C83" s="135" t="s">
        <v>286</v>
      </c>
      <c r="D83" s="135" t="s">
        <v>181</v>
      </c>
      <c r="E83" s="135" t="s">
        <v>287</v>
      </c>
      <c r="F83" s="153" t="s">
        <v>277</v>
      </c>
      <c r="G83" s="169" t="s">
        <v>350</v>
      </c>
      <c r="H83" s="137">
        <v>1500000</v>
      </c>
    </row>
    <row r="84" spans="2:8" x14ac:dyDescent="0.3">
      <c r="B84" s="153">
        <v>3</v>
      </c>
      <c r="C84" s="135" t="s">
        <v>314</v>
      </c>
      <c r="D84" s="135" t="s">
        <v>181</v>
      </c>
      <c r="E84" s="135" t="s">
        <v>255</v>
      </c>
      <c r="F84" s="153" t="s">
        <v>277</v>
      </c>
      <c r="G84" s="169" t="s">
        <v>350</v>
      </c>
      <c r="H84" s="137">
        <v>5000000</v>
      </c>
    </row>
    <row r="85" spans="2:8" x14ac:dyDescent="0.3">
      <c r="B85" s="153">
        <v>3</v>
      </c>
      <c r="C85" s="135" t="s">
        <v>316</v>
      </c>
      <c r="D85" s="135" t="s">
        <v>181</v>
      </c>
      <c r="E85" s="135" t="s">
        <v>255</v>
      </c>
      <c r="F85" s="153" t="s">
        <v>277</v>
      </c>
      <c r="G85" s="169" t="s">
        <v>350</v>
      </c>
      <c r="H85" s="137">
        <v>3500000</v>
      </c>
    </row>
    <row r="86" spans="2:8" x14ac:dyDescent="0.3">
      <c r="B86" s="153">
        <v>3</v>
      </c>
      <c r="C86" s="135" t="s">
        <v>315</v>
      </c>
      <c r="D86" s="135" t="s">
        <v>181</v>
      </c>
      <c r="E86" s="135" t="s">
        <v>255</v>
      </c>
      <c r="F86" s="153" t="s">
        <v>277</v>
      </c>
      <c r="G86" s="169" t="s">
        <v>350</v>
      </c>
      <c r="H86" s="137">
        <v>0</v>
      </c>
    </row>
    <row r="87" spans="2:8" ht="15.6" x14ac:dyDescent="0.3">
      <c r="B87" s="156"/>
      <c r="C87" s="138"/>
      <c r="D87" s="138"/>
      <c r="E87" s="138"/>
      <c r="G87" s="122" t="s">
        <v>131</v>
      </c>
      <c r="H87" s="123">
        <f>SUM(H55:H86)</f>
        <v>30450117.610000003</v>
      </c>
    </row>
    <row r="89" spans="2:8" x14ac:dyDescent="0.3">
      <c r="C89" s="138"/>
    </row>
    <row r="107" spans="2:8" ht="15" x14ac:dyDescent="0.3">
      <c r="B107" s="188" t="s">
        <v>224</v>
      </c>
      <c r="C107" s="138"/>
      <c r="D107" s="138"/>
      <c r="E107" s="138"/>
      <c r="F107" s="138"/>
      <c r="G107" s="138"/>
      <c r="H107" s="139"/>
    </row>
    <row r="108" spans="2:8" ht="4.2" customHeight="1" thickBot="1" x14ac:dyDescent="0.35">
      <c r="B108" s="138"/>
      <c r="C108" s="138"/>
      <c r="D108" s="138"/>
      <c r="E108" s="138"/>
      <c r="F108" s="138"/>
      <c r="G108" s="138"/>
      <c r="H108" s="139"/>
    </row>
    <row r="109" spans="2:8" ht="15.6" thickBot="1" x14ac:dyDescent="0.35">
      <c r="B109" s="191" t="s">
        <v>177</v>
      </c>
      <c r="C109" s="191" t="s">
        <v>178</v>
      </c>
      <c r="D109" s="191" t="s">
        <v>179</v>
      </c>
      <c r="E109" s="191" t="s">
        <v>102</v>
      </c>
      <c r="F109" s="191" t="s">
        <v>321</v>
      </c>
      <c r="G109" s="192" t="s">
        <v>334</v>
      </c>
      <c r="H109" s="193" t="s">
        <v>180</v>
      </c>
    </row>
    <row r="110" spans="2:8" x14ac:dyDescent="0.3">
      <c r="B110" s="160">
        <v>2</v>
      </c>
      <c r="C110" s="189" t="s">
        <v>225</v>
      </c>
      <c r="D110" s="160"/>
      <c r="E110" s="190" t="s">
        <v>225</v>
      </c>
      <c r="F110" s="125"/>
      <c r="G110" s="125"/>
      <c r="H110" s="162">
        <v>3000000</v>
      </c>
    </row>
    <row r="111" spans="2:8" x14ac:dyDescent="0.3">
      <c r="B111" s="135">
        <v>2</v>
      </c>
      <c r="C111" s="158" t="s">
        <v>225</v>
      </c>
      <c r="D111" s="135"/>
      <c r="E111" s="159" t="s">
        <v>225</v>
      </c>
      <c r="F111" s="118"/>
      <c r="G111" s="170"/>
      <c r="H111" s="137">
        <v>1500000</v>
      </c>
    </row>
    <row r="112" spans="2:8" x14ac:dyDescent="0.3">
      <c r="B112" s="135">
        <v>2</v>
      </c>
      <c r="C112" s="158" t="s">
        <v>149</v>
      </c>
      <c r="D112" s="135"/>
      <c r="E112" s="136" t="s">
        <v>226</v>
      </c>
      <c r="F112" s="118"/>
      <c r="G112" s="170"/>
      <c r="H112" s="137">
        <v>2000000</v>
      </c>
    </row>
    <row r="113" spans="2:8" ht="43.2" x14ac:dyDescent="0.3">
      <c r="B113" s="135">
        <v>2</v>
      </c>
      <c r="C113" s="158" t="s">
        <v>227</v>
      </c>
      <c r="D113" s="135"/>
      <c r="E113" s="144" t="s">
        <v>228</v>
      </c>
      <c r="F113" s="118"/>
      <c r="G113" s="170"/>
      <c r="H113" s="137">
        <v>309062.51</v>
      </c>
    </row>
    <row r="114" spans="2:8" x14ac:dyDescent="0.3">
      <c r="B114" s="135">
        <v>2</v>
      </c>
      <c r="C114" s="158" t="s">
        <v>229</v>
      </c>
      <c r="D114" s="135"/>
      <c r="E114" s="136" t="s">
        <v>230</v>
      </c>
      <c r="F114" s="118"/>
      <c r="G114" s="170"/>
      <c r="H114" s="137">
        <v>493450</v>
      </c>
    </row>
    <row r="115" spans="2:8" x14ac:dyDescent="0.3">
      <c r="B115" s="135">
        <v>2</v>
      </c>
      <c r="C115" s="158" t="s">
        <v>229</v>
      </c>
      <c r="D115" s="135"/>
      <c r="E115" s="136" t="s">
        <v>231</v>
      </c>
      <c r="F115" s="118"/>
      <c r="G115" s="170"/>
      <c r="H115" s="137">
        <v>993850</v>
      </c>
    </row>
    <row r="116" spans="2:8" ht="28.8" x14ac:dyDescent="0.3">
      <c r="B116" s="135">
        <v>2</v>
      </c>
      <c r="C116" s="158" t="s">
        <v>232</v>
      </c>
      <c r="D116" s="135"/>
      <c r="E116" s="144" t="s">
        <v>233</v>
      </c>
      <c r="F116" s="118"/>
      <c r="G116" s="170" t="s">
        <v>344</v>
      </c>
      <c r="H116" s="137">
        <v>415000</v>
      </c>
    </row>
    <row r="117" spans="2:8" x14ac:dyDescent="0.3">
      <c r="B117" s="135">
        <v>2</v>
      </c>
      <c r="C117" s="158" t="s">
        <v>13</v>
      </c>
      <c r="D117" s="135"/>
      <c r="E117" s="136" t="s">
        <v>234</v>
      </c>
      <c r="F117" s="118"/>
      <c r="G117" s="170" t="s">
        <v>344</v>
      </c>
      <c r="H117" s="137">
        <v>276670.96999999997</v>
      </c>
    </row>
    <row r="118" spans="2:8" x14ac:dyDescent="0.3">
      <c r="B118" s="135">
        <v>2</v>
      </c>
      <c r="C118" s="158" t="s">
        <v>225</v>
      </c>
      <c r="D118" s="135"/>
      <c r="E118" s="136" t="s">
        <v>235</v>
      </c>
      <c r="F118" s="118"/>
      <c r="G118" s="170"/>
      <c r="H118" s="137">
        <v>3000000</v>
      </c>
    </row>
    <row r="119" spans="2:8" ht="29.4" thickBot="1" x14ac:dyDescent="0.35">
      <c r="B119" s="135">
        <v>2</v>
      </c>
      <c r="C119" s="158" t="s">
        <v>4</v>
      </c>
      <c r="D119" s="135"/>
      <c r="E119" s="144" t="s">
        <v>236</v>
      </c>
      <c r="F119" s="118"/>
      <c r="G119" s="194" t="s">
        <v>345</v>
      </c>
      <c r="H119" s="182">
        <v>3500000</v>
      </c>
    </row>
    <row r="120" spans="2:8" ht="16.2" thickBot="1" x14ac:dyDescent="0.35">
      <c r="B120" s="131"/>
      <c r="C120" s="131"/>
      <c r="D120" s="131"/>
      <c r="E120" s="131"/>
      <c r="G120" s="195" t="s">
        <v>131</v>
      </c>
      <c r="H120" s="196">
        <f>SUM(H110:H119)</f>
        <v>15488033.48</v>
      </c>
    </row>
  </sheetData>
  <autoFilter ref="C6:H6" xr:uid="{1F72DB2B-AFEE-4D9E-95BA-606A57A4FED3}">
    <sortState xmlns:xlrd2="http://schemas.microsoft.com/office/spreadsheetml/2017/richdata2" ref="C7:H45">
      <sortCondition ref="G6"/>
    </sortState>
  </autoFilter>
  <pageMargins left="0.511811024" right="0.511811024" top="0.78740157499999996" bottom="0.78740157499999996" header="0.31496062000000002" footer="0.31496062000000002"/>
  <pageSetup paperSize="9" scale="81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58F0-46EA-4895-BE24-9B770C758BE3}">
  <dimension ref="D4:H55"/>
  <sheetViews>
    <sheetView showGridLines="0" topLeftCell="A3" workbookViewId="0">
      <selection activeCell="J30" sqref="J30"/>
    </sheetView>
  </sheetViews>
  <sheetFormatPr defaultRowHeight="14.4" x14ac:dyDescent="0.3"/>
  <cols>
    <col min="1" max="1" width="3.44140625" customWidth="1"/>
    <col min="2" max="2" width="3.77734375" customWidth="1"/>
    <col min="3" max="3" width="3.44140625" customWidth="1"/>
    <col min="4" max="4" width="20.109375" style="71" customWidth="1"/>
    <col min="5" max="5" width="23.21875" customWidth="1"/>
    <col min="6" max="6" width="17.21875" customWidth="1"/>
    <col min="7" max="7" width="38.5546875" customWidth="1"/>
    <col min="8" max="8" width="19.5546875" style="71" customWidth="1"/>
    <col min="9" max="9" width="3.44140625" customWidth="1"/>
  </cols>
  <sheetData>
    <row r="4" spans="4:8" ht="15" thickBot="1" x14ac:dyDescent="0.35"/>
    <row r="5" spans="4:8" ht="18" customHeight="1" thickBot="1" x14ac:dyDescent="0.35">
      <c r="D5" s="132" t="s">
        <v>178</v>
      </c>
      <c r="E5" s="133" t="s">
        <v>2</v>
      </c>
      <c r="F5" s="133" t="s">
        <v>51</v>
      </c>
      <c r="G5" s="133" t="s">
        <v>102</v>
      </c>
      <c r="H5" s="152" t="s">
        <v>3</v>
      </c>
    </row>
    <row r="6" spans="4:8" x14ac:dyDescent="0.3">
      <c r="D6" s="160" t="s">
        <v>13</v>
      </c>
      <c r="E6" s="160" t="s">
        <v>375</v>
      </c>
      <c r="F6" s="160" t="s">
        <v>385</v>
      </c>
      <c r="G6" s="160" t="s">
        <v>296</v>
      </c>
      <c r="H6" s="162">
        <v>750000</v>
      </c>
    </row>
    <row r="7" spans="4:8" x14ac:dyDescent="0.3">
      <c r="D7" s="135" t="s">
        <v>13</v>
      </c>
      <c r="E7" s="135" t="s">
        <v>376</v>
      </c>
      <c r="F7" s="135" t="s">
        <v>387</v>
      </c>
      <c r="G7" s="135" t="s">
        <v>354</v>
      </c>
      <c r="H7" s="137">
        <v>750000</v>
      </c>
    </row>
    <row r="8" spans="4:8" x14ac:dyDescent="0.3">
      <c r="D8" s="135" t="s">
        <v>13</v>
      </c>
      <c r="E8" s="135" t="s">
        <v>377</v>
      </c>
      <c r="F8" s="135" t="s">
        <v>386</v>
      </c>
      <c r="G8" s="135" t="s">
        <v>353</v>
      </c>
      <c r="H8" s="137">
        <v>1500000</v>
      </c>
    </row>
    <row r="9" spans="4:8" x14ac:dyDescent="0.3">
      <c r="D9" s="135" t="s">
        <v>355</v>
      </c>
      <c r="E9" s="135" t="s">
        <v>378</v>
      </c>
      <c r="F9" s="135" t="s">
        <v>397</v>
      </c>
      <c r="G9" s="135" t="s">
        <v>296</v>
      </c>
      <c r="H9" s="137">
        <v>750000</v>
      </c>
    </row>
    <row r="10" spans="4:8" x14ac:dyDescent="0.3">
      <c r="D10" s="135" t="s">
        <v>67</v>
      </c>
      <c r="E10" s="135" t="s">
        <v>363</v>
      </c>
      <c r="F10" s="135" t="s">
        <v>402</v>
      </c>
      <c r="G10" s="135" t="s">
        <v>380</v>
      </c>
      <c r="H10" s="137">
        <v>500000</v>
      </c>
    </row>
    <row r="11" spans="4:8" x14ac:dyDescent="0.3">
      <c r="D11" s="135" t="s">
        <v>67</v>
      </c>
      <c r="E11" s="135" t="s">
        <v>364</v>
      </c>
      <c r="F11" s="135" t="s">
        <v>403</v>
      </c>
      <c r="G11" s="135" t="s">
        <v>380</v>
      </c>
      <c r="H11" s="137">
        <v>500000</v>
      </c>
    </row>
    <row r="12" spans="4:8" x14ac:dyDescent="0.3">
      <c r="D12" s="135" t="s">
        <v>67</v>
      </c>
      <c r="E12" s="135" t="s">
        <v>365</v>
      </c>
      <c r="F12" s="135" t="s">
        <v>382</v>
      </c>
      <c r="G12" s="135" t="s">
        <v>380</v>
      </c>
      <c r="H12" s="137">
        <v>500000</v>
      </c>
    </row>
    <row r="13" spans="4:8" x14ac:dyDescent="0.3">
      <c r="D13" s="135" t="s">
        <v>67</v>
      </c>
      <c r="E13" s="135" t="s">
        <v>366</v>
      </c>
      <c r="F13" s="135" t="s">
        <v>404</v>
      </c>
      <c r="G13" s="135" t="s">
        <v>379</v>
      </c>
      <c r="H13" s="137">
        <v>1000000</v>
      </c>
    </row>
    <row r="14" spans="4:8" x14ac:dyDescent="0.3">
      <c r="D14" s="135" t="s">
        <v>67</v>
      </c>
      <c r="E14" s="135" t="s">
        <v>366</v>
      </c>
      <c r="F14" s="135" t="s">
        <v>404</v>
      </c>
      <c r="G14" s="135" t="s">
        <v>104</v>
      </c>
      <c r="H14" s="137">
        <v>300000</v>
      </c>
    </row>
    <row r="15" spans="4:8" x14ac:dyDescent="0.3">
      <c r="D15" s="135" t="s">
        <v>67</v>
      </c>
      <c r="E15" s="135" t="s">
        <v>367</v>
      </c>
      <c r="F15" s="135" t="s">
        <v>406</v>
      </c>
      <c r="G15" s="135" t="s">
        <v>296</v>
      </c>
      <c r="H15" s="137">
        <v>750000</v>
      </c>
    </row>
    <row r="16" spans="4:8" x14ac:dyDescent="0.3">
      <c r="D16" s="135" t="s">
        <v>67</v>
      </c>
      <c r="E16" s="135" t="s">
        <v>369</v>
      </c>
      <c r="F16" s="135" t="s">
        <v>383</v>
      </c>
      <c r="G16" s="135" t="s">
        <v>381</v>
      </c>
      <c r="H16" s="137">
        <v>500000</v>
      </c>
    </row>
    <row r="17" spans="4:8" x14ac:dyDescent="0.3">
      <c r="D17" s="135" t="s">
        <v>67</v>
      </c>
      <c r="E17" s="135" t="s">
        <v>370</v>
      </c>
      <c r="F17" s="135" t="s">
        <v>384</v>
      </c>
      <c r="G17" s="135" t="s">
        <v>380</v>
      </c>
      <c r="H17" s="137">
        <v>500000</v>
      </c>
    </row>
    <row r="18" spans="4:8" x14ac:dyDescent="0.3">
      <c r="D18" s="135" t="s">
        <v>67</v>
      </c>
      <c r="E18" s="135" t="s">
        <v>374</v>
      </c>
      <c r="F18" s="135" t="s">
        <v>405</v>
      </c>
      <c r="G18" s="135" t="s">
        <v>380</v>
      </c>
      <c r="H18" s="137">
        <v>500000</v>
      </c>
    </row>
    <row r="19" spans="4:8" x14ac:dyDescent="0.3">
      <c r="D19" s="135" t="s">
        <v>23</v>
      </c>
      <c r="E19" s="135" t="s">
        <v>356</v>
      </c>
      <c r="F19" s="135" t="s">
        <v>389</v>
      </c>
      <c r="G19" s="135" t="s">
        <v>380</v>
      </c>
      <c r="H19" s="137">
        <v>500000</v>
      </c>
    </row>
    <row r="20" spans="4:8" x14ac:dyDescent="0.3">
      <c r="D20" s="135" t="s">
        <v>23</v>
      </c>
      <c r="E20" s="135" t="s">
        <v>357</v>
      </c>
      <c r="F20" s="135" t="s">
        <v>388</v>
      </c>
      <c r="G20" s="135" t="s">
        <v>380</v>
      </c>
      <c r="H20" s="137">
        <v>500000</v>
      </c>
    </row>
    <row r="21" spans="4:8" x14ac:dyDescent="0.3">
      <c r="D21" s="135" t="s">
        <v>23</v>
      </c>
      <c r="E21" s="135" t="s">
        <v>358</v>
      </c>
      <c r="F21" s="135" t="s">
        <v>393</v>
      </c>
      <c r="G21" s="135" t="s">
        <v>380</v>
      </c>
      <c r="H21" s="137">
        <v>500000</v>
      </c>
    </row>
    <row r="22" spans="4:8" x14ac:dyDescent="0.3">
      <c r="D22" s="135" t="s">
        <v>23</v>
      </c>
      <c r="E22" s="135" t="s">
        <v>359</v>
      </c>
      <c r="F22" s="135" t="s">
        <v>394</v>
      </c>
      <c r="G22" s="135" t="s">
        <v>380</v>
      </c>
      <c r="H22" s="137">
        <v>500000</v>
      </c>
    </row>
    <row r="23" spans="4:8" x14ac:dyDescent="0.3">
      <c r="D23" s="135" t="s">
        <v>23</v>
      </c>
      <c r="E23" s="135" t="s">
        <v>360</v>
      </c>
      <c r="F23" s="135" t="s">
        <v>392</v>
      </c>
      <c r="G23" s="135" t="s">
        <v>380</v>
      </c>
      <c r="H23" s="137">
        <v>500000</v>
      </c>
    </row>
    <row r="24" spans="4:8" x14ac:dyDescent="0.3">
      <c r="D24" s="135" t="s">
        <v>23</v>
      </c>
      <c r="E24" s="135" t="s">
        <v>361</v>
      </c>
      <c r="F24" s="135" t="s">
        <v>391</v>
      </c>
      <c r="G24" s="135" t="s">
        <v>380</v>
      </c>
      <c r="H24" s="137">
        <v>500000</v>
      </c>
    </row>
    <row r="25" spans="4:8" ht="15" thickBot="1" x14ac:dyDescent="0.35">
      <c r="D25" s="135" t="s">
        <v>23</v>
      </c>
      <c r="E25" s="135" t="s">
        <v>362</v>
      </c>
      <c r="F25" s="135" t="s">
        <v>390</v>
      </c>
      <c r="G25" s="181" t="s">
        <v>380</v>
      </c>
      <c r="H25" s="182">
        <v>500000</v>
      </c>
    </row>
    <row r="26" spans="4:8" ht="18" customHeight="1" thickBot="1" x14ac:dyDescent="0.35">
      <c r="D26" s="156"/>
      <c r="E26" s="138"/>
      <c r="F26" s="138"/>
      <c r="G26" s="183" t="s">
        <v>50</v>
      </c>
      <c r="H26" s="184">
        <f>SUM(H6:H25)</f>
        <v>12300000</v>
      </c>
    </row>
    <row r="36" spans="5:6" x14ac:dyDescent="0.3">
      <c r="E36" t="s">
        <v>356</v>
      </c>
      <c r="F36" s="72">
        <v>500000</v>
      </c>
    </row>
    <row r="37" spans="5:6" x14ac:dyDescent="0.3">
      <c r="E37" t="s">
        <v>357</v>
      </c>
      <c r="F37" s="72">
        <v>500000</v>
      </c>
    </row>
    <row r="38" spans="5:6" x14ac:dyDescent="0.3">
      <c r="E38" t="s">
        <v>358</v>
      </c>
      <c r="F38" s="72">
        <v>500000</v>
      </c>
    </row>
    <row r="39" spans="5:6" x14ac:dyDescent="0.3">
      <c r="E39" t="s">
        <v>359</v>
      </c>
      <c r="F39" s="72">
        <v>500000</v>
      </c>
    </row>
    <row r="40" spans="5:6" x14ac:dyDescent="0.3">
      <c r="E40" t="s">
        <v>360</v>
      </c>
      <c r="F40" s="72">
        <v>500000</v>
      </c>
    </row>
    <row r="41" spans="5:6" x14ac:dyDescent="0.3">
      <c r="E41" t="s">
        <v>361</v>
      </c>
      <c r="F41" s="72">
        <v>500000</v>
      </c>
    </row>
    <row r="42" spans="5:6" x14ac:dyDescent="0.3">
      <c r="E42" s="176" t="s">
        <v>362</v>
      </c>
      <c r="F42" s="72">
        <v>500000</v>
      </c>
    </row>
    <row r="43" spans="5:6" x14ac:dyDescent="0.3">
      <c r="F43" s="177">
        <f>SUM(F36:F42)</f>
        <v>3500000</v>
      </c>
    </row>
    <row r="47" spans="5:6" x14ac:dyDescent="0.3">
      <c r="E47" t="s">
        <v>363</v>
      </c>
      <c r="F47" s="72">
        <v>500000</v>
      </c>
    </row>
    <row r="48" spans="5:6" x14ac:dyDescent="0.3">
      <c r="E48" t="s">
        <v>364</v>
      </c>
      <c r="F48" s="72">
        <v>500000</v>
      </c>
    </row>
    <row r="49" spans="4:8" x14ac:dyDescent="0.3">
      <c r="E49" t="s">
        <v>365</v>
      </c>
      <c r="F49" s="72">
        <v>500000</v>
      </c>
    </row>
    <row r="50" spans="4:8" x14ac:dyDescent="0.3">
      <c r="D50" s="71" t="s">
        <v>372</v>
      </c>
      <c r="E50" t="s">
        <v>366</v>
      </c>
      <c r="F50" s="178">
        <v>1000000</v>
      </c>
      <c r="G50" s="178">
        <v>300000</v>
      </c>
      <c r="H50" s="71" t="s">
        <v>368</v>
      </c>
    </row>
    <row r="51" spans="4:8" x14ac:dyDescent="0.3">
      <c r="E51" t="s">
        <v>367</v>
      </c>
      <c r="F51" s="72">
        <v>750000</v>
      </c>
      <c r="G51" t="s">
        <v>371</v>
      </c>
    </row>
    <row r="52" spans="4:8" x14ac:dyDescent="0.3">
      <c r="D52" s="71" t="s">
        <v>373</v>
      </c>
      <c r="E52" t="s">
        <v>369</v>
      </c>
      <c r="F52" s="72">
        <v>500000</v>
      </c>
    </row>
    <row r="53" spans="4:8" x14ac:dyDescent="0.3">
      <c r="E53" t="s">
        <v>370</v>
      </c>
      <c r="F53" s="72">
        <v>500000</v>
      </c>
    </row>
    <row r="54" spans="4:8" x14ac:dyDescent="0.3">
      <c r="E54" t="s">
        <v>374</v>
      </c>
      <c r="F54" s="72">
        <v>500000</v>
      </c>
    </row>
    <row r="55" spans="4:8" x14ac:dyDescent="0.3">
      <c r="F55" s="177">
        <f>SUM(F47:F54)</f>
        <v>4750000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1528-B7F0-4C7B-B99D-19AB68DB1575}">
  <dimension ref="E8:G19"/>
  <sheetViews>
    <sheetView showGridLines="0" zoomScaleNormal="100" workbookViewId="0">
      <selection activeCell="G17" sqref="G17"/>
    </sheetView>
  </sheetViews>
  <sheetFormatPr defaultRowHeight="15.6" x14ac:dyDescent="0.3"/>
  <cols>
    <col min="1" max="3" width="8.88671875" style="29"/>
    <col min="4" max="4" width="3.109375" style="29" customWidth="1"/>
    <col min="5" max="5" width="16.109375" style="73" customWidth="1"/>
    <col min="6" max="6" width="17.77734375" style="73" customWidth="1"/>
    <col min="7" max="7" width="13.44140625" style="31" customWidth="1"/>
    <col min="8" max="8" width="3.109375" style="29" customWidth="1"/>
    <col min="9" max="16384" width="8.88671875" style="29"/>
  </cols>
  <sheetData>
    <row r="8" spans="5:7" x14ac:dyDescent="0.3">
      <c r="E8" s="185" t="s">
        <v>400</v>
      </c>
      <c r="F8" s="185">
        <v>500</v>
      </c>
    </row>
    <row r="10" spans="5:7" x14ac:dyDescent="0.3">
      <c r="E10" s="179" t="s">
        <v>396</v>
      </c>
      <c r="F10" s="179" t="s">
        <v>395</v>
      </c>
      <c r="G10" s="186" t="s">
        <v>3</v>
      </c>
    </row>
    <row r="11" spans="5:7" x14ac:dyDescent="0.3">
      <c r="E11" s="187">
        <v>46037</v>
      </c>
      <c r="F11" s="73" t="s">
        <v>398</v>
      </c>
      <c r="G11" s="31">
        <v>97.55</v>
      </c>
    </row>
    <row r="12" spans="5:7" x14ac:dyDescent="0.3">
      <c r="E12" s="187">
        <v>46038</v>
      </c>
      <c r="F12" s="73" t="s">
        <v>398</v>
      </c>
      <c r="G12" s="31">
        <v>32.909999999999997</v>
      </c>
    </row>
    <row r="13" spans="5:7" x14ac:dyDescent="0.3">
      <c r="E13" s="187">
        <v>46041</v>
      </c>
      <c r="F13" s="73" t="s">
        <v>398</v>
      </c>
      <c r="G13" s="31">
        <v>47.7</v>
      </c>
    </row>
    <row r="14" spans="5:7" x14ac:dyDescent="0.3">
      <c r="E14" s="187">
        <v>46041</v>
      </c>
      <c r="F14" s="73" t="s">
        <v>399</v>
      </c>
      <c r="G14" s="31">
        <v>92.99</v>
      </c>
    </row>
    <row r="15" spans="5:7" x14ac:dyDescent="0.3">
      <c r="E15" s="187">
        <v>46042</v>
      </c>
      <c r="F15" s="73" t="s">
        <v>398</v>
      </c>
      <c r="G15" s="31">
        <v>48.7</v>
      </c>
    </row>
    <row r="16" spans="5:7" x14ac:dyDescent="0.3">
      <c r="E16" s="187">
        <v>46042</v>
      </c>
      <c r="F16" s="73" t="s">
        <v>399</v>
      </c>
      <c r="G16" s="31">
        <v>111.99</v>
      </c>
    </row>
    <row r="17" spans="6:7" x14ac:dyDescent="0.3">
      <c r="F17" s="38" t="s">
        <v>131</v>
      </c>
      <c r="G17" s="180">
        <f>SUM(G11:G16)</f>
        <v>431.84</v>
      </c>
    </row>
    <row r="19" spans="6:7" x14ac:dyDescent="0.3">
      <c r="F19" s="73" t="s">
        <v>401</v>
      </c>
      <c r="G19" s="31">
        <f>F8-G17</f>
        <v>68.160000000000025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1437-E0CC-44C3-AF36-88627C9E88B4}">
  <dimension ref="H6:I17"/>
  <sheetViews>
    <sheetView showGridLines="0" workbookViewId="0">
      <selection activeCell="E6" sqref="E6:I17"/>
    </sheetView>
  </sheetViews>
  <sheetFormatPr defaultRowHeight="14.4" x14ac:dyDescent="0.3"/>
  <cols>
    <col min="1" max="1" width="1.21875" customWidth="1"/>
    <col min="2" max="3" width="5.88671875" customWidth="1"/>
    <col min="4" max="4" width="4.88671875" customWidth="1"/>
    <col min="5" max="5" width="23.21875" customWidth="1"/>
    <col min="6" max="6" width="40.33203125" bestFit="1" customWidth="1"/>
    <col min="7" max="7" width="33.88671875" customWidth="1"/>
    <col min="8" max="8" width="20.21875" style="71" bestFit="1" customWidth="1"/>
    <col min="9" max="9" width="18.5546875" style="72" customWidth="1"/>
    <col min="10" max="10" width="4.88671875" customWidth="1"/>
  </cols>
  <sheetData>
    <row r="6" customFormat="1" x14ac:dyDescent="0.3"/>
    <row r="7" customFormat="1" ht="6" customHeight="1" x14ac:dyDescent="0.3"/>
    <row r="8" customFormat="1" x14ac:dyDescent="0.3"/>
    <row r="9" customFormat="1" x14ac:dyDescent="0.3"/>
    <row r="10" customFormat="1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16" customFormat="1" x14ac:dyDescent="0.3"/>
    <row r="17" customFormat="1" x14ac:dyDescent="0.3"/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CD86-842C-4291-9DC5-CFEAB2635B14}">
  <dimension ref="C2:H36"/>
  <sheetViews>
    <sheetView showGridLines="0" topLeftCell="A19" workbookViewId="0">
      <selection activeCell="I14" sqref="I14"/>
    </sheetView>
  </sheetViews>
  <sheetFormatPr defaultRowHeight="17.399999999999999" x14ac:dyDescent="0.35"/>
  <cols>
    <col min="1" max="1" width="8.88671875" style="1"/>
    <col min="2" max="2" width="4.21875" style="1" customWidth="1"/>
    <col min="3" max="3" width="19.5546875" style="1" customWidth="1"/>
    <col min="4" max="4" width="70.109375" style="1" bestFit="1" customWidth="1"/>
    <col min="5" max="5" width="21" style="2" customWidth="1"/>
    <col min="6" max="6" width="4.21875" style="1" customWidth="1"/>
    <col min="7" max="16384" width="8.88671875" style="1"/>
  </cols>
  <sheetData>
    <row r="2" spans="3:5" ht="18" thickBot="1" x14ac:dyDescent="0.4"/>
    <row r="3" spans="3:5" ht="18.600000000000001" thickBot="1" x14ac:dyDescent="0.4">
      <c r="D3" s="15" t="s">
        <v>0</v>
      </c>
    </row>
    <row r="4" spans="3:5" ht="9" customHeight="1" thickBot="1" x14ac:dyDescent="0.4"/>
    <row r="5" spans="3:5" ht="19.2" customHeight="1" thickBot="1" x14ac:dyDescent="0.4">
      <c r="D5" s="26" t="s">
        <v>47</v>
      </c>
    </row>
    <row r="6" spans="3:5" ht="9" customHeight="1" thickBot="1" x14ac:dyDescent="0.4"/>
    <row r="7" spans="3:5" ht="18.600000000000001" thickBot="1" x14ac:dyDescent="0.4">
      <c r="C7" s="18" t="s">
        <v>1</v>
      </c>
      <c r="D7" s="19" t="s">
        <v>2</v>
      </c>
      <c r="E7" s="20" t="s">
        <v>3</v>
      </c>
    </row>
    <row r="8" spans="3:5" x14ac:dyDescent="0.35">
      <c r="C8" s="12" t="s">
        <v>32</v>
      </c>
      <c r="D8" s="13" t="s">
        <v>33</v>
      </c>
      <c r="E8" s="14">
        <v>1000000</v>
      </c>
    </row>
    <row r="9" spans="3:5" x14ac:dyDescent="0.35">
      <c r="C9" s="7" t="s">
        <v>15</v>
      </c>
      <c r="D9" s="21" t="s">
        <v>16</v>
      </c>
      <c r="E9" s="8">
        <v>4000000</v>
      </c>
    </row>
    <row r="10" spans="3:5" x14ac:dyDescent="0.35">
      <c r="C10" s="7" t="s">
        <v>17</v>
      </c>
      <c r="D10" s="21" t="s">
        <v>18</v>
      </c>
      <c r="E10" s="8">
        <v>4000000</v>
      </c>
    </row>
    <row r="11" spans="3:5" x14ac:dyDescent="0.35">
      <c r="C11" s="7" t="s">
        <v>11</v>
      </c>
      <c r="D11" s="21" t="s">
        <v>12</v>
      </c>
      <c r="E11" s="8">
        <v>2000000</v>
      </c>
    </row>
    <row r="12" spans="3:5" x14ac:dyDescent="0.35">
      <c r="C12" s="7" t="s">
        <v>23</v>
      </c>
      <c r="D12" s="21" t="s">
        <v>24</v>
      </c>
      <c r="E12" s="8">
        <v>4000000</v>
      </c>
    </row>
    <row r="13" spans="3:5" x14ac:dyDescent="0.35">
      <c r="C13" s="7" t="s">
        <v>21</v>
      </c>
      <c r="D13" s="21" t="s">
        <v>22</v>
      </c>
      <c r="E13" s="8">
        <v>4000000</v>
      </c>
    </row>
    <row r="14" spans="3:5" ht="34.799999999999997" x14ac:dyDescent="0.35">
      <c r="C14" s="5" t="s">
        <v>6</v>
      </c>
      <c r="D14" s="22" t="s">
        <v>7</v>
      </c>
      <c r="E14" s="6">
        <v>3000000</v>
      </c>
    </row>
    <row r="15" spans="3:5" ht="34.799999999999997" x14ac:dyDescent="0.35">
      <c r="C15" s="5" t="s">
        <v>13</v>
      </c>
      <c r="D15" s="22" t="s">
        <v>14</v>
      </c>
      <c r="E15" s="6">
        <v>2500000</v>
      </c>
    </row>
    <row r="16" spans="3:5" x14ac:dyDescent="0.35">
      <c r="C16" s="5" t="s">
        <v>19</v>
      </c>
      <c r="D16" s="22" t="s">
        <v>20</v>
      </c>
      <c r="E16" s="6">
        <v>1500000</v>
      </c>
    </row>
    <row r="17" spans="3:8" x14ac:dyDescent="0.35">
      <c r="C17" s="24" t="s">
        <v>36</v>
      </c>
      <c r="D17" s="1" t="s">
        <v>39</v>
      </c>
      <c r="E17" s="23">
        <v>2500000</v>
      </c>
    </row>
    <row r="18" spans="3:8" x14ac:dyDescent="0.35">
      <c r="C18" s="5" t="s">
        <v>4</v>
      </c>
      <c r="D18" s="4" t="s">
        <v>5</v>
      </c>
      <c r="E18" s="6">
        <v>10000000</v>
      </c>
    </row>
    <row r="19" spans="3:8" ht="18" thickBot="1" x14ac:dyDescent="0.4">
      <c r="C19" s="9" t="s">
        <v>30</v>
      </c>
      <c r="D19" s="10" t="s">
        <v>31</v>
      </c>
      <c r="E19" s="11">
        <v>1500000</v>
      </c>
    </row>
    <row r="20" spans="3:8" x14ac:dyDescent="0.35">
      <c r="E20" s="3">
        <f>SUM(E8:E19)</f>
        <v>40000000</v>
      </c>
    </row>
    <row r="25" spans="3:8" x14ac:dyDescent="0.35">
      <c r="C25" s="16" t="s">
        <v>8</v>
      </c>
      <c r="D25" s="4" t="s">
        <v>9</v>
      </c>
      <c r="E25" s="6">
        <v>2000000</v>
      </c>
    </row>
    <row r="26" spans="3:8" x14ac:dyDescent="0.35">
      <c r="C26" s="16" t="s">
        <v>25</v>
      </c>
      <c r="D26" s="4" t="s">
        <v>26</v>
      </c>
      <c r="E26" s="6">
        <v>3000000</v>
      </c>
      <c r="H26" s="1" t="s">
        <v>43</v>
      </c>
    </row>
    <row r="27" spans="3:8" x14ac:dyDescent="0.35">
      <c r="C27" s="16" t="s">
        <v>27</v>
      </c>
      <c r="D27" s="4" t="s">
        <v>28</v>
      </c>
      <c r="E27" s="6">
        <v>1500000</v>
      </c>
      <c r="H27" s="1" t="s">
        <v>44</v>
      </c>
    </row>
    <row r="28" spans="3:8" ht="18" thickBot="1" x14ac:dyDescent="0.4">
      <c r="C28" s="17" t="s">
        <v>10</v>
      </c>
      <c r="D28" s="10" t="s">
        <v>29</v>
      </c>
      <c r="E28" s="11">
        <v>2000000</v>
      </c>
      <c r="H28" s="1" t="s">
        <v>45</v>
      </c>
    </row>
    <row r="36" spans="4:4" x14ac:dyDescent="0.35">
      <c r="D36" s="1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0C44-3FF4-4DC5-B737-DE3821DE1300}">
  <dimension ref="C2:H46"/>
  <sheetViews>
    <sheetView showGridLines="0" workbookViewId="0">
      <selection activeCell="B23" sqref="B23"/>
    </sheetView>
  </sheetViews>
  <sheetFormatPr defaultRowHeight="17.399999999999999" x14ac:dyDescent="0.35"/>
  <cols>
    <col min="1" max="1" width="8.88671875" style="1"/>
    <col min="2" max="2" width="4.33203125" style="1" customWidth="1"/>
    <col min="3" max="3" width="19.5546875" style="1" customWidth="1"/>
    <col min="4" max="4" width="70.109375" style="1" bestFit="1" customWidth="1"/>
    <col min="5" max="5" width="21" style="2" customWidth="1"/>
    <col min="6" max="6" width="4.33203125" style="1" customWidth="1"/>
    <col min="7" max="16384" width="8.88671875" style="1"/>
  </cols>
  <sheetData>
    <row r="2" spans="3:5" ht="18" thickBot="1" x14ac:dyDescent="0.4"/>
    <row r="3" spans="3:5" ht="18.600000000000001" thickBot="1" x14ac:dyDescent="0.4">
      <c r="D3" s="15" t="s">
        <v>0</v>
      </c>
    </row>
    <row r="4" spans="3:5" ht="9" customHeight="1" thickBot="1" x14ac:dyDescent="0.4"/>
    <row r="5" spans="3:5" ht="19.2" customHeight="1" thickBot="1" x14ac:dyDescent="0.4">
      <c r="D5" s="26" t="s">
        <v>48</v>
      </c>
    </row>
    <row r="6" spans="3:5" ht="7.2" customHeight="1" thickBot="1" x14ac:dyDescent="0.4"/>
    <row r="7" spans="3:5" ht="18.600000000000001" thickBot="1" x14ac:dyDescent="0.4">
      <c r="C7" s="18" t="s">
        <v>1</v>
      </c>
      <c r="D7" s="19" t="s">
        <v>2</v>
      </c>
      <c r="E7" s="20" t="s">
        <v>3</v>
      </c>
    </row>
    <row r="8" spans="3:5" x14ac:dyDescent="0.35">
      <c r="C8" s="12" t="s">
        <v>32</v>
      </c>
      <c r="D8" s="13" t="s">
        <v>33</v>
      </c>
      <c r="E8" s="14">
        <v>1000000</v>
      </c>
    </row>
    <row r="9" spans="3:5" x14ac:dyDescent="0.35">
      <c r="C9" s="7" t="s">
        <v>15</v>
      </c>
      <c r="D9" s="21" t="s">
        <v>16</v>
      </c>
      <c r="E9" s="8">
        <v>3000000</v>
      </c>
    </row>
    <row r="10" spans="3:5" x14ac:dyDescent="0.35">
      <c r="C10" s="7" t="s">
        <v>17</v>
      </c>
      <c r="D10" s="21" t="s">
        <v>18</v>
      </c>
      <c r="E10" s="8">
        <v>3000000</v>
      </c>
    </row>
    <row r="11" spans="3:5" x14ac:dyDescent="0.35">
      <c r="C11" s="7" t="s">
        <v>11</v>
      </c>
      <c r="D11" s="21" t="s">
        <v>12</v>
      </c>
      <c r="E11" s="8">
        <v>1500000</v>
      </c>
    </row>
    <row r="12" spans="3:5" x14ac:dyDescent="0.35">
      <c r="C12" s="7" t="s">
        <v>23</v>
      </c>
      <c r="D12" s="21" t="s">
        <v>24</v>
      </c>
      <c r="E12" s="8">
        <v>3000000</v>
      </c>
    </row>
    <row r="13" spans="3:5" x14ac:dyDescent="0.35">
      <c r="C13" s="7" t="s">
        <v>21</v>
      </c>
      <c r="D13" s="21" t="s">
        <v>22</v>
      </c>
      <c r="E13" s="8">
        <v>2500000</v>
      </c>
    </row>
    <row r="14" spans="3:5" ht="34.799999999999997" x14ac:dyDescent="0.35">
      <c r="C14" s="5" t="s">
        <v>6</v>
      </c>
      <c r="D14" s="22" t="s">
        <v>7</v>
      </c>
      <c r="E14" s="6">
        <v>3000000</v>
      </c>
    </row>
    <row r="15" spans="3:5" x14ac:dyDescent="0.35">
      <c r="C15" s="27" t="s">
        <v>8</v>
      </c>
      <c r="D15" s="4" t="s">
        <v>9</v>
      </c>
      <c r="E15" s="6">
        <v>2000000</v>
      </c>
    </row>
    <row r="16" spans="3:5" ht="34.799999999999997" x14ac:dyDescent="0.35">
      <c r="C16" s="5" t="s">
        <v>13</v>
      </c>
      <c r="D16" s="22" t="s">
        <v>14</v>
      </c>
      <c r="E16" s="6">
        <v>1500000</v>
      </c>
    </row>
    <row r="17" spans="3:5" x14ac:dyDescent="0.35">
      <c r="C17" s="5" t="s">
        <v>19</v>
      </c>
      <c r="D17" s="22" t="s">
        <v>20</v>
      </c>
      <c r="E17" s="6">
        <v>1500000</v>
      </c>
    </row>
    <row r="18" spans="3:5" x14ac:dyDescent="0.35">
      <c r="C18" s="27" t="s">
        <v>25</v>
      </c>
      <c r="D18" s="4" t="s">
        <v>26</v>
      </c>
      <c r="E18" s="6">
        <v>3000000</v>
      </c>
    </row>
    <row r="19" spans="3:5" x14ac:dyDescent="0.35">
      <c r="C19" s="27" t="s">
        <v>27</v>
      </c>
      <c r="D19" s="4" t="s">
        <v>28</v>
      </c>
      <c r="E19" s="6">
        <v>1500000</v>
      </c>
    </row>
    <row r="20" spans="3:5" x14ac:dyDescent="0.35">
      <c r="C20" s="5" t="s">
        <v>4</v>
      </c>
      <c r="D20" s="4" t="s">
        <v>5</v>
      </c>
      <c r="E20" s="6">
        <v>10000000</v>
      </c>
    </row>
    <row r="21" spans="3:5" x14ac:dyDescent="0.35">
      <c r="C21" s="5" t="s">
        <v>30</v>
      </c>
      <c r="D21" s="4" t="s">
        <v>31</v>
      </c>
      <c r="E21" s="6">
        <v>1500000</v>
      </c>
    </row>
    <row r="22" spans="3:5" ht="18" thickBot="1" x14ac:dyDescent="0.4">
      <c r="C22" s="28" t="s">
        <v>10</v>
      </c>
      <c r="D22" s="10" t="s">
        <v>29</v>
      </c>
      <c r="E22" s="11">
        <v>2000000</v>
      </c>
    </row>
    <row r="23" spans="3:5" x14ac:dyDescent="0.35">
      <c r="E23" s="3">
        <f>SUM(E8:E22)</f>
        <v>40000000</v>
      </c>
    </row>
    <row r="36" spans="4:8" x14ac:dyDescent="0.35">
      <c r="E36" s="1"/>
    </row>
    <row r="37" spans="4:8" x14ac:dyDescent="0.35">
      <c r="E37" s="1"/>
    </row>
    <row r="38" spans="4:8" x14ac:dyDescent="0.35">
      <c r="E38" s="1"/>
    </row>
    <row r="39" spans="4:8" x14ac:dyDescent="0.35">
      <c r="H39" s="1" t="s">
        <v>43</v>
      </c>
    </row>
    <row r="40" spans="4:8" x14ac:dyDescent="0.35">
      <c r="H40" s="1" t="s">
        <v>44</v>
      </c>
    </row>
    <row r="41" spans="4:8" x14ac:dyDescent="0.35">
      <c r="H41" s="1" t="s">
        <v>45</v>
      </c>
    </row>
    <row r="46" spans="4:8" x14ac:dyDescent="0.35">
      <c r="D46" s="1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8</vt:i4>
      </vt:variant>
    </vt:vector>
  </HeadingPairs>
  <TitlesOfParts>
    <vt:vector size="26" baseType="lpstr">
      <vt:lpstr>opcao 1</vt:lpstr>
      <vt:lpstr>etapa 1 asfalto</vt:lpstr>
      <vt:lpstr>etapa 2 asfalto</vt:lpstr>
      <vt:lpstr>Etapa 3 Asfalto</vt:lpstr>
      <vt:lpstr>Planilha1</vt:lpstr>
      <vt:lpstr>GERAL</vt:lpstr>
      <vt:lpstr>ETAPA 1 e 2</vt:lpstr>
      <vt:lpstr>Planilha2</vt:lpstr>
      <vt:lpstr>Planilha5</vt:lpstr>
      <vt:lpstr>ASFALTOS</vt:lpstr>
      <vt:lpstr>OBRAS DIVERSAS</vt:lpstr>
      <vt:lpstr>Planilha3</vt:lpstr>
      <vt:lpstr>geral 2</vt:lpstr>
      <vt:lpstr>g</vt:lpstr>
      <vt:lpstr>Planilha4</vt:lpstr>
      <vt:lpstr>ETAPA 2</vt:lpstr>
      <vt:lpstr>opcao 2</vt:lpstr>
      <vt:lpstr>a primeira</vt:lpstr>
      <vt:lpstr>ASFALTOS!Area_de_impressao</vt:lpstr>
      <vt:lpstr>'etapa 1 asfalto'!Area_de_impressao</vt:lpstr>
      <vt:lpstr>'etapa 2 asfalto'!Area_de_impressao</vt:lpstr>
      <vt:lpstr>'geral 2'!Area_de_impressao</vt:lpstr>
      <vt:lpstr>'OBRAS DIVERSAS'!Area_de_impressao</vt:lpstr>
      <vt:lpstr>'opcao 1'!Area_de_impressao</vt:lpstr>
      <vt:lpstr>Planilha1!Area_de_impressao</vt:lpstr>
      <vt:lpstr>Planilha2!Area_de_impressao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Martins</dc:creator>
  <cp:lastModifiedBy>Robson Santos</cp:lastModifiedBy>
  <cp:lastPrinted>2026-01-29T03:25:56Z</cp:lastPrinted>
  <dcterms:created xsi:type="dcterms:W3CDTF">2025-01-08T20:35:11Z</dcterms:created>
  <dcterms:modified xsi:type="dcterms:W3CDTF">2026-01-29T14:03:23Z</dcterms:modified>
</cp:coreProperties>
</file>